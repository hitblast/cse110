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ETA" sheetId="1" r:id="rId5"/>
    <sheet state="hidden" name="FacultyInfo" sheetId="2" r:id="rId6"/>
    <sheet state="visible" name="MARKS" sheetId="3" r:id="rId7"/>
    <sheet state="visible" name="BARRED" sheetId="4" r:id="rId8"/>
    <sheet state="hidden" name="Sheet5" sheetId="5" r:id="rId9"/>
  </sheets>
  <definedNames/>
  <calcPr/>
</workbook>
</file>

<file path=xl/sharedStrings.xml><?xml version="1.0" encoding="utf-8"?>
<sst xmlns="http://schemas.openxmlformats.org/spreadsheetml/2006/main" count="1689" uniqueCount="1018">
  <si>
    <r>
      <rPr>
        <b/>
        <color rgb="FFFFFF00"/>
        <sz val="12.0"/>
      </rPr>
      <t>README FIRST:</t>
    </r>
    <r>
      <rPr>
        <sz val="12.0"/>
      </rPr>
      <t xml:space="preserve">
1. First choose your lab day from the option </t>
    </r>
    <r>
      <rPr>
        <b/>
        <color rgb="FFFFFF00"/>
        <sz val="12.0"/>
      </rPr>
      <t>WED</t>
    </r>
    <r>
      <rPr>
        <sz val="12.0"/>
      </rPr>
      <t xml:space="preserve"> for </t>
    </r>
    <r>
      <rPr>
        <b/>
        <color rgb="FFFFFF00"/>
        <sz val="12.0"/>
      </rPr>
      <t>Wednesday</t>
    </r>
    <r>
      <rPr>
        <sz val="12.0"/>
      </rPr>
      <t xml:space="preserve"> and </t>
    </r>
    <r>
      <rPr>
        <b/>
        <color rgb="FFFFFF00"/>
        <sz val="12.0"/>
      </rPr>
      <t>THU</t>
    </r>
    <r>
      <rPr>
        <sz val="12.0"/>
      </rPr>
      <t xml:space="preserve"> for </t>
    </r>
    <r>
      <rPr>
        <b/>
        <color rgb="FFFFFF00"/>
        <sz val="12.0"/>
      </rPr>
      <t>Thursday</t>
    </r>
    <r>
      <rPr>
        <sz val="12.0"/>
      </rPr>
      <t xml:space="preserve"> in </t>
    </r>
    <r>
      <rPr>
        <b/>
        <color rgb="FFFFFF00"/>
        <sz val="12.0"/>
      </rPr>
      <t>C9</t>
    </r>
    <r>
      <rPr>
        <sz val="12.0"/>
      </rPr>
      <t xml:space="preserve">.
2. Write your </t>
    </r>
    <r>
      <rPr>
        <b/>
        <color rgb="FFFFFF00"/>
        <sz val="12.0"/>
      </rPr>
      <t>section number</t>
    </r>
    <r>
      <rPr>
        <sz val="12.0"/>
      </rPr>
      <t xml:space="preserve"> in </t>
    </r>
    <r>
      <rPr>
        <b/>
        <color rgb="FFFFFF00"/>
        <sz val="12.0"/>
      </rPr>
      <t>C10</t>
    </r>
    <r>
      <rPr>
        <sz val="12.0"/>
      </rPr>
      <t xml:space="preserve">.
3. Provide </t>
    </r>
    <r>
      <rPr>
        <b/>
        <color rgb="FFFFFF00"/>
        <sz val="12.0"/>
      </rPr>
      <t>Correct Initial</t>
    </r>
    <r>
      <rPr>
        <sz val="12.0"/>
      </rPr>
      <t xml:space="preserve"> of both Lab Faculty in </t>
    </r>
    <r>
      <rPr>
        <b/>
        <color rgb="FFFFFF00"/>
        <sz val="12.0"/>
      </rPr>
      <t>D12</t>
    </r>
    <r>
      <rPr>
        <sz val="12.0"/>
      </rPr>
      <t xml:space="preserve"> and </t>
    </r>
    <r>
      <rPr>
        <b/>
        <color rgb="FFFFFF00"/>
        <sz val="12.0"/>
      </rPr>
      <t>D13</t>
    </r>
    <r>
      <rPr>
        <sz val="12.0"/>
      </rPr>
      <t xml:space="preserve">, This will generate the Email Address of both Lab Faculty Automatically.
4. </t>
    </r>
    <r>
      <rPr>
        <b/>
        <color rgb="FFFFFF00"/>
        <sz val="12.0"/>
      </rPr>
      <t>After that make sure to hide this META sheet, so that students don't can see this information</t>
    </r>
    <r>
      <rPr>
        <b/>
        <sz val="12.0"/>
      </rPr>
      <t>.</t>
    </r>
    <r>
      <rPr>
        <b/>
        <color rgb="FFFFFF00"/>
        <sz val="12.0"/>
      </rPr>
      <t xml:space="preserve">
</t>
    </r>
    <r>
      <rPr>
        <sz val="12.0"/>
      </rPr>
      <t xml:space="preserve">5. Then go to </t>
    </r>
    <r>
      <rPr>
        <b/>
        <color rgb="FF1155CC"/>
        <sz val="12.0"/>
        <u/>
      </rPr>
      <t>MARKS</t>
    </r>
    <r>
      <rPr>
        <b/>
        <sz val="12.0"/>
      </rPr>
      <t xml:space="preserve"> </t>
    </r>
    <r>
      <rPr>
        <sz val="12.0"/>
      </rPr>
      <t xml:space="preserve">sheet and in </t>
    </r>
    <r>
      <rPr>
        <b/>
        <color rgb="FFFFFF00"/>
        <sz val="12.0"/>
      </rPr>
      <t>A9 (ORANGE color cell)</t>
    </r>
    <r>
      <rPr>
        <sz val="12.0"/>
      </rPr>
      <t xml:space="preserve"> allow access to get all the sectionwise data from </t>
    </r>
    <r>
      <rPr>
        <b/>
        <color rgb="FFFFFF00"/>
        <sz val="12.0"/>
      </rPr>
      <t>Combined Attendance Sheet</t>
    </r>
    <r>
      <rPr>
        <b/>
        <sz val="12.0"/>
      </rPr>
      <t>.</t>
    </r>
    <r>
      <rPr>
        <sz val="12.0"/>
      </rPr>
      <t xml:space="preserve">
</t>
    </r>
    <r>
      <rPr>
        <b/>
        <color rgb="FFFFFF00"/>
        <sz val="12.0"/>
      </rPr>
      <t xml:space="preserve">[ NOTE: Don't give Edit Access to Students &amp; Don't write anything on MARKS Sheet ]
</t>
    </r>
    <r>
      <rPr>
        <color rgb="FFFFFF00"/>
        <sz val="12.0"/>
      </rPr>
      <t xml:space="preserve">** If you did not make any changes in the Combined Attendance Sheeet then it should show all the informations correctly.
** If you face any difficulties to use it, feel free to contact me </t>
    </r>
    <r>
      <rPr>
        <b/>
        <color rgb="FF0000FF"/>
        <sz val="12.0"/>
      </rPr>
      <t>mohammad.rakibul@bracu.ac.bd</t>
    </r>
  </si>
  <si>
    <t>COURSE CODE</t>
  </si>
  <si>
    <t>CSE110</t>
  </si>
  <si>
    <t>COURSE</t>
  </si>
  <si>
    <t>Programming Language I</t>
  </si>
  <si>
    <t>LAB DAY</t>
  </si>
  <si>
    <t>WED</t>
  </si>
  <si>
    <t>SECTION</t>
  </si>
  <si>
    <t>SEMESTER</t>
  </si>
  <si>
    <t>FALL-25</t>
  </si>
  <si>
    <t>FACULTY-1</t>
  </si>
  <si>
    <t>NTN</t>
  </si>
  <si>
    <t>FACULTY-2</t>
  </si>
  <si>
    <t>RKBM</t>
  </si>
  <si>
    <t>Do Not Change Anything Below</t>
  </si>
  <si>
    <t>PULL ID</t>
  </si>
  <si>
    <t>1-7lLgPWhi2HIB2PYeYX6yHyWfCkYB9i3usZmIs0LWrg</t>
  </si>
  <si>
    <t>PULL SHEET NAME</t>
  </si>
  <si>
    <t>RANGE</t>
  </si>
  <si>
    <t>!A2:AQ43</t>
  </si>
  <si>
    <t>AAR</t>
  </si>
  <si>
    <t>Mr. Annajiat Alim Rasel</t>
  </si>
  <si>
    <t>Senior Lecturer</t>
  </si>
  <si>
    <t>Full Time</t>
  </si>
  <si>
    <t>4G20</t>
  </si>
  <si>
    <t>annajiat@bracu.ac.bd</t>
  </si>
  <si>
    <t>ACH</t>
  </si>
  <si>
    <t>Dr. Amitabha Chakrabarty</t>
  </si>
  <si>
    <t>Professor</t>
  </si>
  <si>
    <t>4G25</t>
  </si>
  <si>
    <t>amitabha@bracu.ac.bd</t>
  </si>
  <si>
    <t>ADU</t>
  </si>
  <si>
    <t>Mr. Ahmed Mahir Ruhan</t>
  </si>
  <si>
    <t>Lecturer</t>
  </si>
  <si>
    <t>4L93</t>
  </si>
  <si>
    <t>ahmed.ruhan@bracu.ac.bd</t>
  </si>
  <si>
    <t>AFA</t>
  </si>
  <si>
    <t>Afroza Akhter</t>
  </si>
  <si>
    <t>4K79</t>
  </si>
  <si>
    <t>afroza.akther@bracu.ac.bd</t>
  </si>
  <si>
    <t>AFQ</t>
  </si>
  <si>
    <t>Mohammed Ashfaqul Haque</t>
  </si>
  <si>
    <t>4N137</t>
  </si>
  <si>
    <t>ashfaqul.haque@bracu.ac.bd</t>
  </si>
  <si>
    <t>AHU</t>
  </si>
  <si>
    <t>Mr. Md. Ahasanul Alam</t>
  </si>
  <si>
    <t>4M133</t>
  </si>
  <si>
    <t>ahasanul.alam@bracu.ac.bd</t>
  </si>
  <si>
    <t>AIB</t>
  </si>
  <si>
    <t>Mr. Md. Abu Ibrahim</t>
  </si>
  <si>
    <t>4J59</t>
  </si>
  <si>
    <t>abu.ibrahim@bracu.ac.bd</t>
  </si>
  <si>
    <t>AJA</t>
  </si>
  <si>
    <t>Mr. Abid Jahan Apon</t>
  </si>
  <si>
    <t>4M116</t>
  </si>
  <si>
    <t>abid.jahan@bracu.ac.bd</t>
  </si>
  <si>
    <t>AKJ</t>
  </si>
  <si>
    <t>Akib Anjum</t>
  </si>
  <si>
    <t>4N161</t>
  </si>
  <si>
    <t>anjum.akib@bracu.ac.bd</t>
  </si>
  <si>
    <t>AKTD</t>
  </si>
  <si>
    <t>Md. Akhtaruzaman Adnan</t>
  </si>
  <si>
    <t>4G16</t>
  </si>
  <si>
    <t>akhtaruzzaman.adnan@bracu.ac.bd</t>
  </si>
  <si>
    <t>AMK</t>
  </si>
  <si>
    <t>Dr. Abu Mohammad Khan</t>
  </si>
  <si>
    <t>Associate Professor</t>
  </si>
  <si>
    <t>4G26</t>
  </si>
  <si>
    <t>abu.khan@bracu.ac.bd</t>
  </si>
  <si>
    <t>ANK</t>
  </si>
  <si>
    <t>Mr. Abdullah Al Nakib</t>
  </si>
  <si>
    <t>4J58</t>
  </si>
  <si>
    <t>abdullah.alnakib@bracu.ac.bd</t>
  </si>
  <si>
    <t>ANWE</t>
  </si>
  <si>
    <t>Abdullah Nayem Wasi Emran</t>
  </si>
  <si>
    <t>4N146</t>
  </si>
  <si>
    <t>abdullah.nayem@bracu.ac.bd</t>
  </si>
  <si>
    <t>AQT</t>
  </si>
  <si>
    <t>Aniqa Tabassum</t>
  </si>
  <si>
    <t>4N150</t>
  </si>
  <si>
    <t>aniqa.tabassum@bracu.ac.bd</t>
  </si>
  <si>
    <t>AQU</t>
  </si>
  <si>
    <t>Mr. Md. Aquib Azmain</t>
  </si>
  <si>
    <t>4M104</t>
  </si>
  <si>
    <t>aquib.azmain@bracu.ac.bd</t>
  </si>
  <si>
    <t>ARD</t>
  </si>
  <si>
    <t>Mr. Ayman Rasheed</t>
  </si>
  <si>
    <t>4M129</t>
  </si>
  <si>
    <t>ayman.rasheed@bracu.ac.bd</t>
  </si>
  <si>
    <t>ARF</t>
  </si>
  <si>
    <t>Mr. Arif Shakil</t>
  </si>
  <si>
    <t>4G03</t>
  </si>
  <si>
    <t>arif.shakil@bracu.ac.bd</t>
  </si>
  <si>
    <t>ART</t>
  </si>
  <si>
    <t>Atanu Roy</t>
  </si>
  <si>
    <t>4M126</t>
  </si>
  <si>
    <t>atanu.roy@bracu.ac.bd</t>
  </si>
  <si>
    <t>ASA</t>
  </si>
  <si>
    <t>Dr. Md. Ashraful Alam</t>
  </si>
  <si>
    <t>4G24</t>
  </si>
  <si>
    <t>ashraful.alam@bracu.ac.bd</t>
  </si>
  <si>
    <t>ASAK</t>
  </si>
  <si>
    <t>Arnob Saha Ankon</t>
  </si>
  <si>
    <t>4M102</t>
  </si>
  <si>
    <t>arnob.ankon@bracu.ac.bd</t>
  </si>
  <si>
    <t>ASRK</t>
  </si>
  <si>
    <t>Md. Ashrafur Rahman Khan</t>
  </si>
  <si>
    <t>4M120</t>
  </si>
  <si>
    <t>ashrafur.khan@bracu.ac.bd</t>
  </si>
  <si>
    <t>ATY</t>
  </si>
  <si>
    <t>Ateya Ahmed Subarna</t>
  </si>
  <si>
    <t>4K77</t>
  </si>
  <si>
    <t>ateya.ahmed@bracu.ac.bd</t>
  </si>
  <si>
    <t>AVB</t>
  </si>
  <si>
    <t>Mr. Avinandan Banerjee</t>
  </si>
  <si>
    <t>4M118</t>
  </si>
  <si>
    <t>avinandan@bracu.ac.bd</t>
  </si>
  <si>
    <t>AYO</t>
  </si>
  <si>
    <t>Ariyan Hossain</t>
  </si>
  <si>
    <t>4N153</t>
  </si>
  <si>
    <t>ariyan.hossain@bracu.ac.bd</t>
  </si>
  <si>
    <t>BDH</t>
  </si>
  <si>
    <t>Mr. Mohammad Badrul Hossain</t>
  </si>
  <si>
    <t>4J67</t>
  </si>
  <si>
    <t>badrul.hossain@bracu.ac.bd</t>
  </si>
  <si>
    <t>BIJS</t>
  </si>
  <si>
    <t>Bijoy Ahmed Saiem</t>
  </si>
  <si>
    <t>4M130</t>
  </si>
  <si>
    <t>bijoy.saiem@bracu.ac.bd</t>
  </si>
  <si>
    <t>CMR</t>
  </si>
  <si>
    <t>Dr. Chowdhury Mofizur Rahman</t>
  </si>
  <si>
    <t>4G18</t>
  </si>
  <si>
    <t>rahman.mofizur@bracu.ac.bd</t>
  </si>
  <si>
    <t>DFD</t>
  </si>
  <si>
    <t>Mr. Dibyo Fabian Dofadar</t>
  </si>
  <si>
    <t>4M106</t>
  </si>
  <si>
    <t>fabian.dofadar@bracu.ac.bd</t>
  </si>
  <si>
    <t>DPU</t>
  </si>
  <si>
    <t>Mr. Shoaib Ahmed Dipu</t>
  </si>
  <si>
    <t>4J63</t>
  </si>
  <si>
    <t>shoaib.ahmed@bracu.ac.bd</t>
  </si>
  <si>
    <t>DZK</t>
  </si>
  <si>
    <t>Mr. Dewan Ziaul Karim</t>
  </si>
  <si>
    <t>4G05</t>
  </si>
  <si>
    <t>ziaul.karim@bracu.ac.bd</t>
  </si>
  <si>
    <t>EHQ</t>
  </si>
  <si>
    <t>Ehtashamul Haque</t>
  </si>
  <si>
    <t>4N168</t>
  </si>
  <si>
    <t>ehtashamul.haque@bracu.ac.bd</t>
  </si>
  <si>
    <t>FARS</t>
  </si>
  <si>
    <t>Ahmad Farhan Shahriar Chowdhury</t>
  </si>
  <si>
    <t>4N145</t>
  </si>
  <si>
    <t>farhan.shahriar@bracu.ac.bd</t>
  </si>
  <si>
    <t>FBAW</t>
  </si>
  <si>
    <t>Faria Binta Awal</t>
  </si>
  <si>
    <t>4K84</t>
  </si>
  <si>
    <t>faria.awal@bracu.ac.bd</t>
  </si>
  <si>
    <t>FDC</t>
  </si>
  <si>
    <t>Dr. Farida Chowdhury</t>
  </si>
  <si>
    <t>4G09</t>
  </si>
  <si>
    <t>farida.chowdhury@bracu.ac.bd</t>
  </si>
  <si>
    <t>FEK</t>
  </si>
  <si>
    <t>Farden Ehsan Khan</t>
  </si>
  <si>
    <t>4M117</t>
  </si>
  <si>
    <t>farden.khan@bracu.ac.bd</t>
  </si>
  <si>
    <t>FFR</t>
  </si>
  <si>
    <t>Md. Fatin Ishraq Faruqui</t>
  </si>
  <si>
    <t>4N169</t>
  </si>
  <si>
    <t>md.fatin@bracu.ac.bd</t>
  </si>
  <si>
    <t>FGZ</t>
  </si>
  <si>
    <t>Mr. Md. Fakhruddin Gazzali</t>
  </si>
  <si>
    <t>4M103</t>
  </si>
  <si>
    <t>fakhruddin.gazzali@bracu.ac.bd</t>
  </si>
  <si>
    <t>FIC</t>
  </si>
  <si>
    <t>Fatiha Ishrar Chowdhury</t>
  </si>
  <si>
    <t>4K81</t>
  </si>
  <si>
    <t>fatiha.ishrar@bracu.ac.bd</t>
  </si>
  <si>
    <t>FYS</t>
  </si>
  <si>
    <t>Dr. Farig Yousuf Sadeque</t>
  </si>
  <si>
    <t>4G29</t>
  </si>
  <si>
    <t>farig.sadeque@bracu.ac.bd</t>
  </si>
  <si>
    <t>FZN</t>
  </si>
  <si>
    <t>Kh.Fardin Zubair Nafis</t>
  </si>
  <si>
    <t>4N155</t>
  </si>
  <si>
    <t>fardin.zubair@bracu.ac.bd</t>
  </si>
  <si>
    <t>GRA</t>
  </si>
  <si>
    <t>Dr. Md. Golam Rabiul Alam</t>
  </si>
  <si>
    <t>4G23</t>
  </si>
  <si>
    <t>rabiul.alam@bracu.ac.bd</t>
  </si>
  <si>
    <t>HFN</t>
  </si>
  <si>
    <t>Sheikh Araf Noshin</t>
  </si>
  <si>
    <t>4N144</t>
  </si>
  <si>
    <t>araf.noshin@bracu.ac.bd</t>
  </si>
  <si>
    <t>HMH</t>
  </si>
  <si>
    <t>Mir Hamidul Hussain</t>
  </si>
  <si>
    <t>4N167</t>
  </si>
  <si>
    <t>hamidul.hussain@bracu.ac.bd</t>
  </si>
  <si>
    <t>IBA</t>
  </si>
  <si>
    <t>Mr. Md. Imran Bin Azad</t>
  </si>
  <si>
    <t>4G02</t>
  </si>
  <si>
    <t>imran.azad@bracu.ac.bd</t>
  </si>
  <si>
    <t>IBU</t>
  </si>
  <si>
    <t>Ms. Ipshita Bonhi Upoma</t>
  </si>
  <si>
    <t>4K78</t>
  </si>
  <si>
    <t>ipshita.upoma@bracu.ac.bd</t>
  </si>
  <si>
    <t>ISAS</t>
  </si>
  <si>
    <t>Md. Ishrak Ahsan</t>
  </si>
  <si>
    <t>4M113</t>
  </si>
  <si>
    <t>ishrak.ahsan@bracu.ac.bd</t>
  </si>
  <si>
    <t>ITTSC</t>
  </si>
  <si>
    <t>Ittehad Saleh Chowdhury</t>
  </si>
  <si>
    <t>4P196</t>
  </si>
  <si>
    <t>ittehad.chowdhury@bracu.ac.bd</t>
  </si>
  <si>
    <t>KHR</t>
  </si>
  <si>
    <t>Dr. Md. Khalilur Rahman</t>
  </si>
  <si>
    <t>4G08</t>
  </si>
  <si>
    <t>khalilur@bracu.ac.bd</t>
  </si>
  <si>
    <t>KKP</t>
  </si>
  <si>
    <t>Mr. Kabbya Kantam Patwary</t>
  </si>
  <si>
    <t>4J57</t>
  </si>
  <si>
    <t>kabbya.kantam@bracu.ac.bd</t>
  </si>
  <si>
    <t>KKS</t>
  </si>
  <si>
    <t>Md. Khaliduzzaman Khan Samrat</t>
  </si>
  <si>
    <t>4L89</t>
  </si>
  <si>
    <t>md.khaliduzzaman@bracu.ac.bd</t>
  </si>
  <si>
    <t>KNI</t>
  </si>
  <si>
    <t>Ms. Khondoker Nazia Iqbal</t>
  </si>
  <si>
    <t>4K86</t>
  </si>
  <si>
    <t>nazia.iqbal@bracu.ac.bd</t>
  </si>
  <si>
    <t>KYK</t>
  </si>
  <si>
    <t>Dr. Mohammad Kaykobad</t>
  </si>
  <si>
    <t>4G11</t>
  </si>
  <si>
    <t>kaykobad@bracu.ac.bd</t>
  </si>
  <si>
    <t>KZMN</t>
  </si>
  <si>
    <t>Kazi Kamruzzaman Rabbi</t>
  </si>
  <si>
    <t>4N162</t>
  </si>
  <si>
    <t>kazi.kamruzzaman@bracu.ac.bd</t>
  </si>
  <si>
    <t>LBBH</t>
  </si>
  <si>
    <t>Labib Hasan Khan</t>
  </si>
  <si>
    <t>4N163</t>
  </si>
  <si>
    <t>labib.hasan@bracu.ac.bd</t>
  </si>
  <si>
    <t>LRK</t>
  </si>
  <si>
    <t>Lara khanom</t>
  </si>
  <si>
    <t>4K74</t>
  </si>
  <si>
    <t>lara.khanom@bracu.ac.bd</t>
  </si>
  <si>
    <t>MAHR</t>
  </si>
  <si>
    <t>Mahrin Tasfe</t>
  </si>
  <si>
    <t>4G30</t>
  </si>
  <si>
    <t>mahrin.tasfe@bracu.ac.bd</t>
  </si>
  <si>
    <t>MAJIJ</t>
  </si>
  <si>
    <t>Majisha Jahan Disha</t>
  </si>
  <si>
    <t>4K71</t>
  </si>
  <si>
    <t>majisha.jahan@bracu.ac.bd</t>
  </si>
  <si>
    <t>MAU</t>
  </si>
  <si>
    <t>Marshia Nujhat</t>
  </si>
  <si>
    <t>4K85</t>
  </si>
  <si>
    <t>marshia.nujhat@bracu.ac.bd</t>
  </si>
  <si>
    <t>MDF</t>
  </si>
  <si>
    <t>Mr. Mohammad Fahim</t>
  </si>
  <si>
    <t>4J52</t>
  </si>
  <si>
    <t>mohammad.fahim@bracu.ac.bd</t>
  </si>
  <si>
    <t>MFSQ</t>
  </si>
  <si>
    <t>Mr. Md. Farhan Shadiq</t>
  </si>
  <si>
    <t>4N139</t>
  </si>
  <si>
    <t>farhan.shadiq@bracu.ac.bd</t>
  </si>
  <si>
    <t>MHDE</t>
  </si>
  <si>
    <t>Mehedi Hasan Emo</t>
  </si>
  <si>
    <t>4M134</t>
  </si>
  <si>
    <t>mehedi.emo@bracu.ac.bd</t>
  </si>
  <si>
    <t>MIH</t>
  </si>
  <si>
    <t>Dr. Muhammad Iqbal Hossain</t>
  </si>
  <si>
    <t>4G22</t>
  </si>
  <si>
    <t>iqbal.hossain@bracu.ac.bd</t>
  </si>
  <si>
    <t>MLDH</t>
  </si>
  <si>
    <t>Mahir Labib Dihan</t>
  </si>
  <si>
    <t>4M123</t>
  </si>
  <si>
    <t>labib.mahir@bracu.ac.bd</t>
  </si>
  <si>
    <t>MMM</t>
  </si>
  <si>
    <t>Mr. Moin Mostakim</t>
  </si>
  <si>
    <t>mostakim@bracu.ac.bd</t>
  </si>
  <si>
    <t>MNP</t>
  </si>
  <si>
    <t>Mushfique Nasir Probor</t>
  </si>
  <si>
    <t>4L90</t>
  </si>
  <si>
    <t>mushfique.nasir@bracu.ac.bd</t>
  </si>
  <si>
    <t>MNW</t>
  </si>
  <si>
    <t>Mohammad Nuwaisir Rahman</t>
  </si>
  <si>
    <t>4M122</t>
  </si>
  <si>
    <t>nuwaisir.rahman@bracu.ac.bd</t>
  </si>
  <si>
    <t>MNY</t>
  </si>
  <si>
    <t>Dr. Muhammad Nur Yanhaona</t>
  </si>
  <si>
    <t>4G06</t>
  </si>
  <si>
    <t>nur.yanhaona@bracu.ac.bd</t>
  </si>
  <si>
    <t>MOM</t>
  </si>
  <si>
    <t>Md. Moynul Asik Moni</t>
  </si>
  <si>
    <t>4N158</t>
  </si>
  <si>
    <t>moynul.moni@bracu.ac.bd</t>
  </si>
  <si>
    <t>MSA</t>
  </si>
  <si>
    <t>Dr. Matin Saad Abdullah</t>
  </si>
  <si>
    <t>4G04</t>
  </si>
  <si>
    <t>mabdullah@bracu.ac.bd</t>
  </si>
  <si>
    <t>MSAH</t>
  </si>
  <si>
    <t>Dr. Md. Sakir Hossain</t>
  </si>
  <si>
    <t>4G17</t>
  </si>
  <si>
    <t>sakir.hossain@bracu.ac.bd</t>
  </si>
  <si>
    <t>MSI</t>
  </si>
  <si>
    <t>Mr. Md. Saiful Islam</t>
  </si>
  <si>
    <t>4G12</t>
  </si>
  <si>
    <t>md.saiful.islam@bracu.ac.bd</t>
  </si>
  <si>
    <t>MSMA</t>
  </si>
  <si>
    <t>Mr. Md. Shamim Mia</t>
  </si>
  <si>
    <t>4M110</t>
  </si>
  <si>
    <t>shamim.mia@bracu.ac.bd</t>
  </si>
  <si>
    <t>MUNR</t>
  </si>
  <si>
    <t>A B M Muntasir Rahman</t>
  </si>
  <si>
    <t>4L95</t>
  </si>
  <si>
    <t>abm.muntasir@bracu.ac.bd</t>
  </si>
  <si>
    <t>NAFR</t>
  </si>
  <si>
    <t>Md Nafiu Rahman</t>
  </si>
  <si>
    <t>4N138</t>
  </si>
  <si>
    <t>nafiu.rahman@bracu.ac.bd</t>
  </si>
  <si>
    <t>NAN</t>
  </si>
  <si>
    <t>Sumonta Nandy Amit</t>
  </si>
  <si>
    <t>4J55</t>
  </si>
  <si>
    <t>sumonta.amit@bracu.ac.bd</t>
  </si>
  <si>
    <t>NAST</t>
  </si>
  <si>
    <t>Nazmus Sakib Touhid</t>
  </si>
  <si>
    <t>4P195</t>
  </si>
  <si>
    <t>nazmus.touhid@bracu.ac.bd</t>
  </si>
  <si>
    <t>NDT</t>
  </si>
  <si>
    <t>NIRJHOR DATTA</t>
  </si>
  <si>
    <t>4N136</t>
  </si>
  <si>
    <t>nirjhor.datta@bracu.ac.bd</t>
  </si>
  <si>
    <t>NLH</t>
  </si>
  <si>
    <t>Niloy Farhan</t>
  </si>
  <si>
    <t>4N135</t>
  </si>
  <si>
    <t>niloy.farhan@bracu.ac.bd</t>
  </si>
  <si>
    <t>NNC</t>
  </si>
  <si>
    <t>Ms. Najeefa Nikhat Choudhury</t>
  </si>
  <si>
    <t>najeefa.chy@bracu.ac.bd</t>
  </si>
  <si>
    <t>NTR</t>
  </si>
  <si>
    <t>Ms. Narzu Tarannum</t>
  </si>
  <si>
    <t>4G21</t>
  </si>
  <si>
    <t>narzu.tarannum@bracu.ac.bd</t>
  </si>
  <si>
    <t>NZRF</t>
  </si>
  <si>
    <t>Niaz Ashraf Khan</t>
  </si>
  <si>
    <t>4M125</t>
  </si>
  <si>
    <t>niaz.ashraf@bracu.ac.bd</t>
  </si>
  <si>
    <t>NZU</t>
  </si>
  <si>
    <t>Nazmul Islam</t>
  </si>
  <si>
    <t>4L88</t>
  </si>
  <si>
    <t>nazmul.islam1@bracu.ac.bd</t>
  </si>
  <si>
    <t>PBK</t>
  </si>
  <si>
    <t>Mr. Partha Bhoumik</t>
  </si>
  <si>
    <t>4M108</t>
  </si>
  <si>
    <t>partha.bhoumik@bracu.ac.bd</t>
  </si>
  <si>
    <t>PDS</t>
  </si>
  <si>
    <t>Mr. Purbayan Das</t>
  </si>
  <si>
    <t>4N140</t>
  </si>
  <si>
    <t>purbayan.das@bracu.ac.bd</t>
  </si>
  <si>
    <t>PSMD</t>
  </si>
  <si>
    <t>Prothito Shovon Majumder</t>
  </si>
  <si>
    <t>4M115</t>
  </si>
  <si>
    <t>prothito.shovon@bracu.ac.bd</t>
  </si>
  <si>
    <t>QUZA</t>
  </si>
  <si>
    <t>Quazi Ashikur Rahman</t>
  </si>
  <si>
    <t>4L87</t>
  </si>
  <si>
    <t>quazi.ashikur@bracu.ac.bd</t>
  </si>
  <si>
    <t>RAK</t>
  </si>
  <si>
    <t>Mr. Rubayat Ahmed Khan</t>
  </si>
  <si>
    <t>rubayat.ahmed@bracu.ac.bd</t>
  </si>
  <si>
    <t>RAS</t>
  </si>
  <si>
    <t>Md. Rasel Mia</t>
  </si>
  <si>
    <t>4N147</t>
  </si>
  <si>
    <t>rasel.mia@bracu.ac.bd</t>
  </si>
  <si>
    <t>RBR</t>
  </si>
  <si>
    <t>Mr. Rakin Bin Rabbani</t>
  </si>
  <si>
    <t>4J60</t>
  </si>
  <si>
    <t>rakin.rabbani@bracu.ac.bd</t>
  </si>
  <si>
    <t>RDW</t>
  </si>
  <si>
    <t>Redowanul Akbar</t>
  </si>
  <si>
    <t>4J56</t>
  </si>
  <si>
    <t>redowanul.akbar@bracu.ac.bd</t>
  </si>
  <si>
    <t>RFF</t>
  </si>
  <si>
    <t>Rafid Ahnaf</t>
  </si>
  <si>
    <t>4P180</t>
  </si>
  <si>
    <t>rafid.ahnaf@bracu.ac.bd</t>
  </si>
  <si>
    <t>RFR</t>
  </si>
  <si>
    <t>Md. Rifat Rahman</t>
  </si>
  <si>
    <t>4N164</t>
  </si>
  <si>
    <t>rifat.rahman@bracu.ac.bd</t>
  </si>
  <si>
    <t>RFTS</t>
  </si>
  <si>
    <t>Rifa Tasfiya</t>
  </si>
  <si>
    <t>4K69</t>
  </si>
  <si>
    <t>rifa.tasfiya@bracu.ac.bd</t>
  </si>
  <si>
    <t>RHD</t>
  </si>
  <si>
    <t>Imran Zahid</t>
  </si>
  <si>
    <t>4M127</t>
  </si>
  <si>
    <t>imran.zahid@bracu.ac.bd</t>
  </si>
  <si>
    <t>Mohammad Rakibul Hasan Mahin</t>
  </si>
  <si>
    <t>4L92</t>
  </si>
  <si>
    <t>mohammad.rakibul@bracu.ac.bd</t>
  </si>
  <si>
    <t>RKN</t>
  </si>
  <si>
    <t>Raisul Kabir News</t>
  </si>
  <si>
    <t>4L94</t>
  </si>
  <si>
    <t>raisul.kabir@bracu.ac.bd</t>
  </si>
  <si>
    <t>ROSO</t>
  </si>
  <si>
    <t>MD. Roqunuzzaman Sojib</t>
  </si>
  <si>
    <t>4M121</t>
  </si>
  <si>
    <t>roqunuzzaman.sojib@bracu.ac.bd</t>
  </si>
  <si>
    <t>RRH</t>
  </si>
  <si>
    <t>Mr. Rafeed Rahman</t>
  </si>
  <si>
    <t>4J64</t>
  </si>
  <si>
    <t>rahman.rafeed@bracu.ac.bd</t>
  </si>
  <si>
    <t>RSS</t>
  </si>
  <si>
    <t>Rafiad Sadat Shahir</t>
  </si>
  <si>
    <t>4N154</t>
  </si>
  <si>
    <t>rafiad.shahir@bracu.ac.bd</t>
  </si>
  <si>
    <t>SADA</t>
  </si>
  <si>
    <t>Sadif Ahmed</t>
  </si>
  <si>
    <t>4P197</t>
  </si>
  <si>
    <t>sadif.ahmed@bracu.ac.bd</t>
  </si>
  <si>
    <t>SADF</t>
  </si>
  <si>
    <t>Saadat Rafid Ahmed</t>
  </si>
  <si>
    <t>4J51</t>
  </si>
  <si>
    <t>saadat.ahmed@bracu.ac.bd</t>
  </si>
  <si>
    <t>SBB</t>
  </si>
  <si>
    <t>Md. Sabbir Ahmed</t>
  </si>
  <si>
    <t>4M107</t>
  </si>
  <si>
    <t>sabbir.ahmed@bracu.ac.bd</t>
  </si>
  <si>
    <t>SBHN</t>
  </si>
  <si>
    <t>Mr. Md Sabbir Hossain</t>
  </si>
  <si>
    <t>4J54</t>
  </si>
  <si>
    <t>sabbir.hossain@bracu.ac.bd</t>
  </si>
  <si>
    <t>SDAS</t>
  </si>
  <si>
    <t>Sowmitra Das</t>
  </si>
  <si>
    <t>4N142</t>
  </si>
  <si>
    <t>sowmitra.das@bracu.ac.bd</t>
  </si>
  <si>
    <t>SDF</t>
  </si>
  <si>
    <t>Dr. Md Sadek Ferdous</t>
  </si>
  <si>
    <t>4G10</t>
  </si>
  <si>
    <t>sadek.ferdous@bracu.ac.bd</t>
  </si>
  <si>
    <t>SDL</t>
  </si>
  <si>
    <t>Shadmin Sultana</t>
  </si>
  <si>
    <t>4N151</t>
  </si>
  <si>
    <t>shadmin.sultana@bracu.ac.bd</t>
  </si>
  <si>
    <t>SDQ</t>
  </si>
  <si>
    <t>Mr. Md. Saiful Bari Siddiqui</t>
  </si>
  <si>
    <t>4N152</t>
  </si>
  <si>
    <t>saiful.bari@bracu.ac.bd</t>
  </si>
  <si>
    <t>SDS</t>
  </si>
  <si>
    <t>Mr. Shadman Shahriar</t>
  </si>
  <si>
    <t>4N143</t>
  </si>
  <si>
    <t>shadman.shahriar@bracu.ac.bd</t>
  </si>
  <si>
    <t>SDU</t>
  </si>
  <si>
    <t>Shomen Kundu</t>
  </si>
  <si>
    <t>4N148</t>
  </si>
  <si>
    <t>shomen.kundu@bracu.ac.bd</t>
  </si>
  <si>
    <t>SHAH</t>
  </si>
  <si>
    <t>Asif Shahriar</t>
  </si>
  <si>
    <t>4M124</t>
  </si>
  <si>
    <t>asif.shahriar@bracu.ac.bd</t>
  </si>
  <si>
    <t>SHBK</t>
  </si>
  <si>
    <t>Sahib Kowsar</t>
  </si>
  <si>
    <t>4L91</t>
  </si>
  <si>
    <t>sahib.kowsar@bracu.ac.bd</t>
  </si>
  <si>
    <t>SHDM</t>
  </si>
  <si>
    <t>K. M. Shadman Wadith</t>
  </si>
  <si>
    <t>4M132</t>
  </si>
  <si>
    <t>shadman.wadith@bracu.ac.bd</t>
  </si>
  <si>
    <t>SHRR</t>
  </si>
  <si>
    <t>Mr. Shahriar Rahman Rana</t>
  </si>
  <si>
    <t>4M105</t>
  </si>
  <si>
    <t>shahriar.rahman@bracu.ac.bd</t>
  </si>
  <si>
    <t>SKZ</t>
  </si>
  <si>
    <t>Dr. Sadia Hamid Kazi</t>
  </si>
  <si>
    <t>Associate Professor &amp; Chairperson</t>
  </si>
  <si>
    <t>4G32</t>
  </si>
  <si>
    <t>skazi@bracu.ac.bd</t>
  </si>
  <si>
    <t>SMUR</t>
  </si>
  <si>
    <t>Samiur Rahman</t>
  </si>
  <si>
    <t>4P179</t>
  </si>
  <si>
    <t>rahman.samiur@bracu.ac.bd</t>
  </si>
  <si>
    <t>SOSB</t>
  </si>
  <si>
    <t>Soumya Swagata Biswas</t>
  </si>
  <si>
    <t>4P198</t>
  </si>
  <si>
    <t>soumya.swagata@bracu.ac.bd</t>
  </si>
  <si>
    <t>SRJ</t>
  </si>
  <si>
    <t>Ms. Mehnaz Seraj</t>
  </si>
  <si>
    <t>seraj.mehnaz@bracu.ac.bd</t>
  </si>
  <si>
    <t>SRU</t>
  </si>
  <si>
    <t>Mr. Shakir Rouf</t>
  </si>
  <si>
    <t>4J53</t>
  </si>
  <si>
    <t>shakir.rouf@bracu.ac.bd</t>
  </si>
  <si>
    <t>SUE</t>
  </si>
  <si>
    <t>Sukarna Sarker</t>
  </si>
  <si>
    <t>4K82</t>
  </si>
  <si>
    <t>sukarna.sarkar@bracu.ac.bd</t>
  </si>
  <si>
    <t>SULT</t>
  </si>
  <si>
    <t>Md. Sultanul Arifin</t>
  </si>
  <si>
    <t>4M114</t>
  </si>
  <si>
    <t>sultanul.arifin@bracu.ac.bd</t>
  </si>
  <si>
    <t>SVKG</t>
  </si>
  <si>
    <t>Souvik Ghosh</t>
  </si>
  <si>
    <t>4M131</t>
  </si>
  <si>
    <t>souvik.ghosh@bracu.ac.bd</t>
  </si>
  <si>
    <t>SWG</t>
  </si>
  <si>
    <t>Mr. Swattic Ghose</t>
  </si>
  <si>
    <t>4M109</t>
  </si>
  <si>
    <t>swattic.ghose@bracu.ac.bd</t>
  </si>
  <si>
    <t>SWK</t>
  </si>
  <si>
    <t>Dr. Swakkhar Shatabda</t>
  </si>
  <si>
    <t>4G28</t>
  </si>
  <si>
    <t>swakkhar.shatabda@bracu.ac.bd</t>
  </si>
  <si>
    <t>SWV</t>
  </si>
  <si>
    <t>Showvik Biswas</t>
  </si>
  <si>
    <t>4M128</t>
  </si>
  <si>
    <t>showvik.biswas@bracu.ac.bd</t>
  </si>
  <si>
    <t>SZD</t>
  </si>
  <si>
    <t>Md. Shazid Bin Mahbub</t>
  </si>
  <si>
    <t>4J65</t>
  </si>
  <si>
    <t>shazid.mahbub@bracu.ac.bd</t>
  </si>
  <si>
    <t>SZZ</t>
  </si>
  <si>
    <t>Sazzadul Islam</t>
  </si>
  <si>
    <t>4N165</t>
  </si>
  <si>
    <t>sazzadul.islam@bracu.ac.bd</t>
  </si>
  <si>
    <t>TAP</t>
  </si>
  <si>
    <t>Ms. Tasnim Ahsan Prome</t>
  </si>
  <si>
    <t>4K83</t>
  </si>
  <si>
    <t>tasnim.ahsan@bracu.ac.bd</t>
  </si>
  <si>
    <t>TAV</t>
  </si>
  <si>
    <t>Tarvir Anjum Aditto</t>
  </si>
  <si>
    <t>4N159</t>
  </si>
  <si>
    <t>tarvir.anjum@bracu.ac.bd</t>
  </si>
  <si>
    <t>TAW</t>
  </si>
  <si>
    <t>Mr. Md. Tawhid Anwar</t>
  </si>
  <si>
    <t>tawhid.anwar@bracu.ac.bd</t>
  </si>
  <si>
    <t>THL</t>
  </si>
  <si>
    <t>Mohammad Tahsin Alam</t>
  </si>
  <si>
    <t>4N166</t>
  </si>
  <si>
    <t>tahsin.alam@bracu.ac.bd</t>
  </si>
  <si>
    <t>TMD</t>
  </si>
  <si>
    <t>Mr. Tamkin Mahmud Tan</t>
  </si>
  <si>
    <t>4J62</t>
  </si>
  <si>
    <t>tamkin.mahmud@bracu.ac.bd</t>
  </si>
  <si>
    <t>TNF</t>
  </si>
  <si>
    <t>Tanhiat Fatema Afnan</t>
  </si>
  <si>
    <t>4K76</t>
  </si>
  <si>
    <t>tanhiat.fatema@bracu.ac.bd</t>
  </si>
  <si>
    <t>TRZ</t>
  </si>
  <si>
    <t>Mr. Md. Tanzim Reza</t>
  </si>
  <si>
    <t>tanzim.reza@bracu.ac.bd</t>
  </si>
  <si>
    <t>TSE</t>
  </si>
  <si>
    <t>Tasneem Mazhar</t>
  </si>
  <si>
    <t>4N157</t>
  </si>
  <si>
    <t>tasneem.mazhar@bracu.ac.bd</t>
  </si>
  <si>
    <t>TSM</t>
  </si>
  <si>
    <t>Mr. Mirza Md. Tanjim Shorif Mugdho</t>
  </si>
  <si>
    <t>4J66</t>
  </si>
  <si>
    <t>mirza.mugdho@bracu.ac.bd</t>
  </si>
  <si>
    <t>TVRR</t>
  </si>
  <si>
    <t>Tanveer Rahman</t>
  </si>
  <si>
    <t>4M112</t>
  </si>
  <si>
    <t>tanveer.rahman@bracu.ac.bd</t>
  </si>
  <si>
    <t>TWK</t>
  </si>
  <si>
    <t>Towshik Anam Taj</t>
  </si>
  <si>
    <t>4M119</t>
  </si>
  <si>
    <t>towshik.taj@bracu.ac.bd</t>
  </si>
  <si>
    <t>UJT</t>
  </si>
  <si>
    <t>Umme Jannat Taposhi</t>
  </si>
  <si>
    <t>4K80</t>
  </si>
  <si>
    <t>jannat.taposhi@bracu.ac.bd</t>
  </si>
  <si>
    <t>UPM</t>
  </si>
  <si>
    <t>Tasnim Sobhan Upoma</t>
  </si>
  <si>
    <t>4N141</t>
  </si>
  <si>
    <t>tasnim.upoma@bracu.ac.bd</t>
  </si>
  <si>
    <t>UTKR</t>
  </si>
  <si>
    <t>Utsha Kumar Roy</t>
  </si>
  <si>
    <t>4P199</t>
  </si>
  <si>
    <t>utsha.roy@bracu.ac.bd</t>
  </si>
  <si>
    <t>UTS</t>
  </si>
  <si>
    <t>Utsab Saha</t>
  </si>
  <si>
    <t>4N170</t>
  </si>
  <si>
    <t>utsab.saha@bracu.ac.bd</t>
  </si>
  <si>
    <t>YND</t>
  </si>
  <si>
    <t>Yasmin Nadia</t>
  </si>
  <si>
    <t>4K70</t>
  </si>
  <si>
    <t>yasmin.nadia@bracu.ac.bd</t>
  </si>
  <si>
    <t>ZAZ</t>
  </si>
  <si>
    <t>Ihzaz Abrar Sadik</t>
  </si>
  <si>
    <t>4N160</t>
  </si>
  <si>
    <t>ihzaz.sadik@bracu.ac.bd</t>
  </si>
  <si>
    <t>ZHS</t>
  </si>
  <si>
    <t>Mr. Syed Zamil Hasan Shoumo</t>
  </si>
  <si>
    <t>4J68</t>
  </si>
  <si>
    <t>shoumo.hasan@bracu.ac.bd</t>
  </si>
  <si>
    <t>ZLNM</t>
  </si>
  <si>
    <t>Md. Zulkar Naim</t>
  </si>
  <si>
    <t>4M111</t>
  </si>
  <si>
    <t>zulkar.naim@bracu.ac.bd</t>
  </si>
  <si>
    <t>ZMD</t>
  </si>
  <si>
    <t>Mr. Zaber Mohammad</t>
  </si>
  <si>
    <t>4J61</t>
  </si>
  <si>
    <t>zaber.mohammad@bracu.ac.bd</t>
  </si>
  <si>
    <t>ZYH</t>
  </si>
  <si>
    <t>Zayed Humayun</t>
  </si>
  <si>
    <t>4N156</t>
  </si>
  <si>
    <t>zayed.humayun@bracu.ac.bd</t>
  </si>
  <si>
    <t>AAF</t>
  </si>
  <si>
    <t>Anika Afrin</t>
  </si>
  <si>
    <t>C. Lecturer</t>
  </si>
  <si>
    <t>Contractual</t>
  </si>
  <si>
    <t>4P</t>
  </si>
  <si>
    <t>ext.anika.afrin@bracu.ac.bd</t>
  </si>
  <si>
    <t>AASA</t>
  </si>
  <si>
    <t>Abrar Al Shadid Abir</t>
  </si>
  <si>
    <t>ext.abrar.abir@bracu.ac.bd</t>
  </si>
  <si>
    <t>ADD</t>
  </si>
  <si>
    <t>Ayesha Siddika</t>
  </si>
  <si>
    <t>ext.ayesha.siddika@bracu.ac.bd</t>
  </si>
  <si>
    <t>ADR</t>
  </si>
  <si>
    <t>Mr. Md. Abdur Rahman</t>
  </si>
  <si>
    <t>C. Senior Lecturer</t>
  </si>
  <si>
    <t>abdur.rahman@bracu.ac.bd</t>
  </si>
  <si>
    <t>AHA</t>
  </si>
  <si>
    <t>Abid Hossain Ashik</t>
  </si>
  <si>
    <t>ext.abid.ashik@bracu.ac.bd</t>
  </si>
  <si>
    <t>AHC</t>
  </si>
  <si>
    <t>Asif Hasan Chowdhury</t>
  </si>
  <si>
    <t>ext.asif.hasan@bracu.ac.bd</t>
  </si>
  <si>
    <t>AJK</t>
  </si>
  <si>
    <t>Ahmed Akib Jawad Karim</t>
  </si>
  <si>
    <t>ext.akib.jawad@bracu.ac.bd</t>
  </si>
  <si>
    <t>AKDB</t>
  </si>
  <si>
    <t>Angkon Deb</t>
  </si>
  <si>
    <t>ext.angkon.deb@bracu.ac.bd</t>
  </si>
  <si>
    <t>AKDR</t>
  </si>
  <si>
    <t>Abdullah Khondoker</t>
  </si>
  <si>
    <t>ext.abdullah@bracu.ac.bd</t>
  </si>
  <si>
    <t>ALB</t>
  </si>
  <si>
    <t>Anindita Labonno</t>
  </si>
  <si>
    <t>ext.anindita.labonno@bracu.ac.bd</t>
  </si>
  <si>
    <t>ALSM</t>
  </si>
  <si>
    <t>Aliva Sadnim Mahmud</t>
  </si>
  <si>
    <t>ext.aliva.sadnim@bracu.ac.bd</t>
  </si>
  <si>
    <t>ANKH</t>
  </si>
  <si>
    <t>Anika Ahmed</t>
  </si>
  <si>
    <t>ext.anika.ahmed@bracu.ac.bd</t>
  </si>
  <si>
    <t>ANNH</t>
  </si>
  <si>
    <t>Aunon Halder</t>
  </si>
  <si>
    <t>ext.aunon.halder@bracu.ac.bd</t>
  </si>
  <si>
    <t>ANT</t>
  </si>
  <si>
    <t>Anika Tasnim</t>
  </si>
  <si>
    <t>ext.anika.tasnim@bracu.ac.bd</t>
  </si>
  <si>
    <t>ANV</t>
  </si>
  <si>
    <t>Md. Anonto Shuvo</t>
  </si>
  <si>
    <t>ext.anonto.shuvo@bracu.ac.bd</t>
  </si>
  <si>
    <t>AOH</t>
  </si>
  <si>
    <t>Abu Obaida Hasme</t>
  </si>
  <si>
    <t>ext.abu.hasme@bracu.ac.bd</t>
  </si>
  <si>
    <t>AQJ</t>
  </si>
  <si>
    <t>Ashiqur Jubaier</t>
  </si>
  <si>
    <t>ext.ashiqur.jubaier@bracu.ac.bd</t>
  </si>
  <si>
    <t>ARA</t>
  </si>
  <si>
    <t>Md Ashikur Rahman Any</t>
  </si>
  <si>
    <t>ext.rahman.ashikur@bracu.ac.bd</t>
  </si>
  <si>
    <t>AROY</t>
  </si>
  <si>
    <t>Atonu Roy Chowdhury</t>
  </si>
  <si>
    <t>ext.atonu.roy@bracu.ac.bd</t>
  </si>
  <si>
    <t>ARPD</t>
  </si>
  <si>
    <t>Arpa Roy Dastider</t>
  </si>
  <si>
    <t>ext.arpa.roy@bracu.ac.bd</t>
  </si>
  <si>
    <t>ASMN</t>
  </si>
  <si>
    <t>A S M Nasim Khan</t>
  </si>
  <si>
    <t>ext.nasim.khan@bracu.ac.bd</t>
  </si>
  <si>
    <t>AWK</t>
  </si>
  <si>
    <t>Mirza Azwad Wakil</t>
  </si>
  <si>
    <t>ext.azwad.wakil@bracu.ac.bd</t>
  </si>
  <si>
    <t>CABS</t>
  </si>
  <si>
    <t>Aabrar Islam</t>
  </si>
  <si>
    <t>ext.aabrar.islam@bracu.ac.bd</t>
  </si>
  <si>
    <t>CABT</t>
  </si>
  <si>
    <t>Adiba Tahsin</t>
  </si>
  <si>
    <t>ext.adiba.tahsin@bracu.ac.bd</t>
  </si>
  <si>
    <t>CADM</t>
  </si>
  <si>
    <t>Adiba Amreen Alam</t>
  </si>
  <si>
    <t>ext.adiba.amreen@bracu.ac.bd</t>
  </si>
  <si>
    <t>CAIJ</t>
  </si>
  <si>
    <t>Aniqa Ibnat Jisa</t>
  </si>
  <si>
    <t>ext.aniqa.jisa@bracu.ac.bd</t>
  </si>
  <si>
    <t>CAKB</t>
  </si>
  <si>
    <t>Md Aminul Kader Bulbul</t>
  </si>
  <si>
    <t>ext.aminul.bulbul@bracu.ac.bd</t>
  </si>
  <si>
    <t>CAKM</t>
  </si>
  <si>
    <t>ANIKA ISLAM</t>
  </si>
  <si>
    <t>ext.anika.islam@bracu.ac.bd</t>
  </si>
  <si>
    <t>CAPN</t>
  </si>
  <si>
    <t>Argha Protim Angon</t>
  </si>
  <si>
    <t>ext.argha.angon@bracu.ac.bd</t>
  </si>
  <si>
    <t>CARN</t>
  </si>
  <si>
    <t>Arian Nuhan</t>
  </si>
  <si>
    <t>ext.arian.nuhan@bracu.ac.bd</t>
  </si>
  <si>
    <t>CAST</t>
  </si>
  <si>
    <t>Dr. Ashis Talukder</t>
  </si>
  <si>
    <t>C. Associate Professor</t>
  </si>
  <si>
    <t>4G15</t>
  </si>
  <si>
    <t>ext.ashis.talukder@bracu.ac.bd</t>
  </si>
  <si>
    <t>CAYR</t>
  </si>
  <si>
    <t>Ayon Roy</t>
  </si>
  <si>
    <t>ext.ayon.roy@bracu.ac.bd</t>
  </si>
  <si>
    <t>CEAS</t>
  </si>
  <si>
    <t>Eshtiak Alam Shihab</t>
  </si>
  <si>
    <t>ext.eshtiak.shihab@bracu.ac.bd</t>
  </si>
  <si>
    <t>CESF</t>
  </si>
  <si>
    <t>Eshat Fareeha</t>
  </si>
  <si>
    <t>ext.eshat.fareeha@bracu.ac.bd</t>
  </si>
  <si>
    <t>CKMH</t>
  </si>
  <si>
    <t>Khondokar Mohammad Ahanaf Hannan</t>
  </si>
  <si>
    <t>ext.ahanaf.hannan@bracu.ac.bd</t>
  </si>
  <si>
    <t>CMHH</t>
  </si>
  <si>
    <t>Maheer Helal</t>
  </si>
  <si>
    <t>ext.maheer.helal@bracu.ac.bd</t>
  </si>
  <si>
    <t>CMHQ</t>
  </si>
  <si>
    <t>Moinul Haque</t>
  </si>
  <si>
    <t>ext.moinul.haque@bracu.ac.bd</t>
  </si>
  <si>
    <t>CMIB</t>
  </si>
  <si>
    <t>Mahadi Ibne Bakar</t>
  </si>
  <si>
    <t>ext.mahadi.ibnebakar@bracu.ac.bd</t>
  </si>
  <si>
    <t>CMNB</t>
  </si>
  <si>
    <t>Mondrita Biswas</t>
  </si>
  <si>
    <t>ext.mondrita.biswas@bracu.ac.bd</t>
  </si>
  <si>
    <t>CMZH</t>
  </si>
  <si>
    <t>MD MAZED HOSSAIN</t>
  </si>
  <si>
    <t>ext.mazed.hossain@bracu.ac.bd</t>
  </si>
  <si>
    <t>CNFH</t>
  </si>
  <si>
    <t>Nafis Chowdhury</t>
  </si>
  <si>
    <t>ext.nafis.chowdhury@bracu.ac.bd</t>
  </si>
  <si>
    <t>CNKY</t>
  </si>
  <si>
    <t>Nafisa Khan Youkee</t>
  </si>
  <si>
    <t>ext.nafisa.youkee@bracu.ac.bd</t>
  </si>
  <si>
    <t>CPTH</t>
  </si>
  <si>
    <t>Purba Tahia Hassan</t>
  </si>
  <si>
    <t>ext.purba.hassan@bracu.ac.bd</t>
  </si>
  <si>
    <t>CQAE</t>
  </si>
  <si>
    <t>Qurratul Ayen Elma</t>
  </si>
  <si>
    <t>ext.qurratul.elma@bracu.ac.bd</t>
  </si>
  <si>
    <t>CRHB</t>
  </si>
  <si>
    <t>Ruhan Habib</t>
  </si>
  <si>
    <t>ext.ruhan.habib@bracu.ac.bd</t>
  </si>
  <si>
    <t>CSAB</t>
  </si>
  <si>
    <t>Shreya Adrita Banik</t>
  </si>
  <si>
    <t>ext.shreya.banik@bracu.ac.bd</t>
  </si>
  <si>
    <t>CSSA</t>
  </si>
  <si>
    <t>Sadman Sakib Alif</t>
  </si>
  <si>
    <t>ext.sadman.alif@bracu.ac.bd</t>
  </si>
  <si>
    <t>CSSN</t>
  </si>
  <si>
    <t>Md Shamsur Shafi Nur E Aziz</t>
  </si>
  <si>
    <t>ext.shamsur.aziz@bracu.ac.bd</t>
  </si>
  <si>
    <t>CSYR</t>
  </si>
  <si>
    <t>Sayeedur Rahman</t>
  </si>
  <si>
    <t>ext.sayeedur.rahman@bracu.ac.bd</t>
  </si>
  <si>
    <t>CTRK</t>
  </si>
  <si>
    <t>Tawhidur Rahman Khan</t>
  </si>
  <si>
    <t>ext.tawhidur.khan@bracu.ac.bd</t>
  </si>
  <si>
    <t>CZRZ</t>
  </si>
  <si>
    <t>Zabir Ramiz</t>
  </si>
  <si>
    <t>ext.zabir.ramiz@bracu.ac.bd</t>
  </si>
  <si>
    <t>DBY</t>
  </si>
  <si>
    <t>Deboky Saha</t>
  </si>
  <si>
    <t>ext.deboky.saha@bracu.ac.bd</t>
  </si>
  <si>
    <t>DPRN</t>
  </si>
  <si>
    <t>Dipika Rani Nath</t>
  </si>
  <si>
    <t>ext.dipika.rani@bracu.ac.bd</t>
  </si>
  <si>
    <t>FDM</t>
  </si>
  <si>
    <t>Md Fardin Rahman Ami</t>
  </si>
  <si>
    <t>ext.fardin.rahman@bracu.ac.bd</t>
  </si>
  <si>
    <t>FDZ</t>
  </si>
  <si>
    <t>Fardin Zaman</t>
  </si>
  <si>
    <t>ext.fardin.zaman@bracu.ac.bd</t>
  </si>
  <si>
    <t>FFU</t>
  </si>
  <si>
    <t>Farhan Faruk</t>
  </si>
  <si>
    <t>ext.farhan.faruk@bracu.ac.bd</t>
  </si>
  <si>
    <t>FMK</t>
  </si>
  <si>
    <t>Md. Saif Mokarrom</t>
  </si>
  <si>
    <t>ext.md.saif.mokarrom@bracu.ac.bd</t>
  </si>
  <si>
    <t>FUL</t>
  </si>
  <si>
    <t>M. Shafiul Alam</t>
  </si>
  <si>
    <t>ext.shafiul.alam@bracu.ac.bd</t>
  </si>
  <si>
    <t>HAS</t>
  </si>
  <si>
    <t>Md. Mahadi Hasan</t>
  </si>
  <si>
    <t>ext.md.mahadi@bracu.ac.bd</t>
  </si>
  <si>
    <t>HBN</t>
  </si>
  <si>
    <t>Hamim Ibne Nasim</t>
  </si>
  <si>
    <t>ext.hamim.nasim@bracu.ac.bd</t>
  </si>
  <si>
    <t>IRZ</t>
  </si>
  <si>
    <t>Md. Irtiza Hossain</t>
  </si>
  <si>
    <t>ext.irtiza.hossain@bracu.ac.bd</t>
  </si>
  <si>
    <t>JNM</t>
  </si>
  <si>
    <t>Dr. Jannatun Noor Mukta</t>
  </si>
  <si>
    <t>jannatun.noor@bracu.ac.bd</t>
  </si>
  <si>
    <t>KBS</t>
  </si>
  <si>
    <t>Kefaya Benta Shahnoor</t>
  </si>
  <si>
    <t>ext.kefaya.shahnoor@bracu.ac.bd</t>
  </si>
  <si>
    <t>KSJ</t>
  </si>
  <si>
    <t>Kaji Sajjad Hossain</t>
  </si>
  <si>
    <t>ext.sajjad.hossain@bracu.ac.bd</t>
  </si>
  <si>
    <t>LMI</t>
  </si>
  <si>
    <t>Lamiah Israt</t>
  </si>
  <si>
    <t>lamiah.israt@bracu.ac.bd</t>
  </si>
  <si>
    <t>MAF</t>
  </si>
  <si>
    <t>MD ASIF</t>
  </si>
  <si>
    <t>ext.md.asif@bracu.ac.bd</t>
  </si>
  <si>
    <t>MAO</t>
  </si>
  <si>
    <t>Mirza Abdullah Al Noman</t>
  </si>
  <si>
    <t>ext.mirza.abdullah@bracu.ac.bd</t>
  </si>
  <si>
    <t>MCW</t>
  </si>
  <si>
    <t>Mahjabin Chowdhury</t>
  </si>
  <si>
    <t>ext.mahjabin@bracu.ac.bd</t>
  </si>
  <si>
    <t>MHM</t>
  </si>
  <si>
    <t>Maharin Mosfakin</t>
  </si>
  <si>
    <t>ext.maharin.mosfakin@bracu.ac.bd</t>
  </si>
  <si>
    <t>MHY</t>
  </si>
  <si>
    <t>Abu Musa Al Ashary</t>
  </si>
  <si>
    <t>ext.abu.musa@bracu.ac.bd</t>
  </si>
  <si>
    <t>MKY</t>
  </si>
  <si>
    <t>Shahriar Hasan Mickey</t>
  </si>
  <si>
    <t>TA/RA Room</t>
  </si>
  <si>
    <t>ext.shahriar.mickey@bracu.ac.bd</t>
  </si>
  <si>
    <t>MLH</t>
  </si>
  <si>
    <t>Monirul haque</t>
  </si>
  <si>
    <t>ext.monirul.haque@bracu.ac.bd</t>
  </si>
  <si>
    <t>MOZR</t>
  </si>
  <si>
    <t>Mr. Monzur Murshed Muhammad</t>
  </si>
  <si>
    <t>ext.monzur.murshed@bracu.ac.bd</t>
  </si>
  <si>
    <t>MRSO</t>
  </si>
  <si>
    <t>Masuk Ridwan Saumo</t>
  </si>
  <si>
    <t>ext.masuk.saumo@bracu.ac.bd</t>
  </si>
  <si>
    <t>MSB</t>
  </si>
  <si>
    <t>Dr. Md Shamsuzzoha Bayzid</t>
  </si>
  <si>
    <t>C. Professor</t>
  </si>
  <si>
    <t>ext.shams.bayzid@bracu.ac.bd</t>
  </si>
  <si>
    <t>MTOT</t>
  </si>
  <si>
    <t>Md Toky Tazwar</t>
  </si>
  <si>
    <t>ext.toky.tazwar@bracu.ac.bd</t>
  </si>
  <si>
    <t>MTU</t>
  </si>
  <si>
    <t>Md. Muhtasim Mahmuud</t>
  </si>
  <si>
    <t>ext.muhtasim.mahmud@bracu.ac.bd</t>
  </si>
  <si>
    <t>MZFZ</t>
  </si>
  <si>
    <t>Mehnaz Ara Fazal</t>
  </si>
  <si>
    <t>ext.mehnaz.fazal@bracu.ac.bd</t>
  </si>
  <si>
    <t>MZG</t>
  </si>
  <si>
    <t>Ahmed Mayeesha Reza Agomoni</t>
  </si>
  <si>
    <t>ext.ahmed.mayeesha@bracu.ac.bd</t>
  </si>
  <si>
    <t>MZW</t>
  </si>
  <si>
    <t>Maazin Munawar</t>
  </si>
  <si>
    <t>ext.maazin.munawar@bracu.ac.bd</t>
  </si>
  <si>
    <t>NFF</t>
  </si>
  <si>
    <t>Nafiz Imtiaz Rafin</t>
  </si>
  <si>
    <t>ext.nafiz.rafin@bracu.ac.bd</t>
  </si>
  <si>
    <t>NFS</t>
  </si>
  <si>
    <t>Nafis Faisal</t>
  </si>
  <si>
    <t>ext.nafis.faisal@bracu.ac.bd</t>
  </si>
  <si>
    <t>NLAM</t>
  </si>
  <si>
    <t>Namirul Islam</t>
  </si>
  <si>
    <t>ext.namirul.islam@bracu.ac.bd</t>
  </si>
  <si>
    <t>NMP</t>
  </si>
  <si>
    <t>Namira Mustafiz Pranty</t>
  </si>
  <si>
    <t>ext.namira.pranty@bracu.ac.bd</t>
  </si>
  <si>
    <t>NQM</t>
  </si>
  <si>
    <t>Md Nafiz Ishtiaque Mahee</t>
  </si>
  <si>
    <t>ext.nafiz.ishtiaque@bracu.ac.bd</t>
  </si>
  <si>
    <t>NRT</t>
  </si>
  <si>
    <t>Nusrat Zaman Raya</t>
  </si>
  <si>
    <t>ext.nusrat.raya@bracu.ac.bd</t>
  </si>
  <si>
    <t>Naima Tahsin Nodi</t>
  </si>
  <si>
    <t>ext.naima.tahsin@bracu.ac.bd</t>
  </si>
  <si>
    <t>NUR</t>
  </si>
  <si>
    <t>Nur Mohammad Shaon</t>
  </si>
  <si>
    <t>ext.nur.shaon@bracu.ac.bd</t>
  </si>
  <si>
    <t>NWT</t>
  </si>
  <si>
    <t>Nowshin Tabassum</t>
  </si>
  <si>
    <t>ext.nowshin.tabassum@bracu.ac.bd</t>
  </si>
  <si>
    <t>PLN</t>
  </si>
  <si>
    <t>Pollock Nag</t>
  </si>
  <si>
    <t>ext.pollock.nag@bracu.ac.bd</t>
  </si>
  <si>
    <t>PML</t>
  </si>
  <si>
    <t>MD Rifat Alam Pomil</t>
  </si>
  <si>
    <t>ext.rifat.pomil@bracu.ac.bd</t>
  </si>
  <si>
    <t>PRC</t>
  </si>
  <si>
    <t>Pratick Roy Chowdhuruy</t>
  </si>
  <si>
    <t>ext.pratick.roy@bracu.ac.bd</t>
  </si>
  <si>
    <t>RAO</t>
  </si>
  <si>
    <t>Mohammed Radoan</t>
  </si>
  <si>
    <t>ext.mohammed.radoan@bracu.ac.bd</t>
  </si>
  <si>
    <t>RDS</t>
  </si>
  <si>
    <t>Rantu Das</t>
  </si>
  <si>
    <t>ext.rantu.das@bracu.ac.bd</t>
  </si>
  <si>
    <t>RFQ</t>
  </si>
  <si>
    <t>Md. Rafatul Haq</t>
  </si>
  <si>
    <t>ext.rafatul.haq@bracu.ac.bd</t>
  </si>
  <si>
    <t>RSYR</t>
  </si>
  <si>
    <t>Dr. Rifat Shahriyar</t>
  </si>
  <si>
    <t>ext.rifat.shahriyar@bracu.ac.bd</t>
  </si>
  <si>
    <t>RTI</t>
  </si>
  <si>
    <t>Rifah Tasmiah Islam</t>
  </si>
  <si>
    <t>ext.rifah.tasmiah@bracu.ac.bd</t>
  </si>
  <si>
    <t>RZR</t>
  </si>
  <si>
    <t>Riazul Islam Rifat</t>
  </si>
  <si>
    <t>ext.riazul.islam@bracu.ac.bd</t>
  </si>
  <si>
    <t>SAS</t>
  </si>
  <si>
    <t>Dr. Md. Shafiul Alam Shuvo</t>
  </si>
  <si>
    <t>ext.shafiul.shuvo@bracu.ac.bd</t>
  </si>
  <si>
    <t>SDTS</t>
  </si>
  <si>
    <t>Sanjida Tasnim</t>
  </si>
  <si>
    <t>ext.sanjida.tasnim@bracu.ac.bd</t>
  </si>
  <si>
    <t>SEF</t>
  </si>
  <si>
    <t>Sheikh Iftekhar Ahmed</t>
  </si>
  <si>
    <t>ext.sheikh.ahmed@bracu.ac.bd</t>
  </si>
  <si>
    <t>SHJR</t>
  </si>
  <si>
    <t>Shourov Joarder</t>
  </si>
  <si>
    <t>ext.shourov.joarder@bracu.ac.bd</t>
  </si>
  <si>
    <t>SJM</t>
  </si>
  <si>
    <t>Sajid Imam Mahir</t>
  </si>
  <si>
    <t>ext.sajid.mahir@bracu.ac.bd</t>
  </si>
  <si>
    <t>SLAR</t>
  </si>
  <si>
    <t>Sadiul Arefin Rafi</t>
  </si>
  <si>
    <t>ext.sadiul.rafi@bracu.ac.bd</t>
  </si>
  <si>
    <t>SMDS</t>
  </si>
  <si>
    <t>Soumitra Das</t>
  </si>
  <si>
    <t>ext.soumitra.das@bracu.ac.bd</t>
  </si>
  <si>
    <t>SMKD</t>
  </si>
  <si>
    <t>Sheikh Samiul Kadir</t>
  </si>
  <si>
    <t>ext.samiul.kadir@bracu.ac.bd</t>
  </si>
  <si>
    <t>SSMT</t>
  </si>
  <si>
    <t>Syeda Sumaiya Tasneem</t>
  </si>
  <si>
    <t>ext.sumaiya.tasneem@bracu.ac.bd</t>
  </si>
  <si>
    <t>SUI</t>
  </si>
  <si>
    <t>Sumaiya</t>
  </si>
  <si>
    <t>ext.sumaiya@bracu.ac.bd</t>
  </si>
  <si>
    <t>THR</t>
  </si>
  <si>
    <t>Tahsin Tanim Ramisha</t>
  </si>
  <si>
    <t>ext.tahsin.ramisha@bracu.ac.bd</t>
  </si>
  <si>
    <t>TJH</t>
  </si>
  <si>
    <t>TASNIA JUHA</t>
  </si>
  <si>
    <t>ext.tasnia.juha@bracu.ac.bd</t>
  </si>
  <si>
    <t>TJW</t>
  </si>
  <si>
    <t>Sk. Atik Tajwar Sihan</t>
  </si>
  <si>
    <t>ext.atik.tajwar@bracu.ac.bd</t>
  </si>
  <si>
    <t>TNZ</t>
  </si>
  <si>
    <t>Tanjim Reza</t>
  </si>
  <si>
    <t>ext.tanjim.reza@bracu.ac.bd</t>
  </si>
  <si>
    <t>TTTA</t>
  </si>
  <si>
    <t>Tanshia Tahreen Tanisha</t>
  </si>
  <si>
    <t>ext.tanshia.tahreen@bracu.ac.bd</t>
  </si>
  <si>
    <t>UMS</t>
  </si>
  <si>
    <t>Umaiya Ahmed Maisha</t>
  </si>
  <si>
    <t>ext.umaiya.maisha@bracu.ac.bd</t>
  </si>
  <si>
    <t>WBH</t>
  </si>
  <si>
    <t>Waleed Bin Habib Khan</t>
  </si>
  <si>
    <t>ext.waleed.bin@bracu.ac.bd</t>
  </si>
  <si>
    <t>WLV</t>
  </si>
  <si>
    <t>Md.Waseq Alauddin Alvi</t>
  </si>
  <si>
    <t>ext.waseq.alvi@bracu.ac.bd</t>
  </si>
  <si>
    <t>ZBH</t>
  </si>
  <si>
    <t>Md. Zayed Bin Zahir Arju</t>
  </si>
  <si>
    <t>ext.zayed.zahir@bracu.ac.bd</t>
  </si>
  <si>
    <t>ZIZE</t>
  </si>
  <si>
    <t>Zahin Iqbal Zeal</t>
  </si>
  <si>
    <t>ext.zahin.ikbal@bracu.ac.bd</t>
  </si>
  <si>
    <t>Course Name:</t>
  </si>
  <si>
    <t xml:space="preserve">Course Code: </t>
  </si>
  <si>
    <t>Semester:</t>
  </si>
  <si>
    <t>Section:</t>
  </si>
  <si>
    <t>Lab Day:</t>
  </si>
  <si>
    <t>Faculty-1:</t>
  </si>
  <si>
    <t>Faculty-2:</t>
  </si>
  <si>
    <t>BARRED STUDENT LIST</t>
  </si>
  <si>
    <t>WARNING</t>
  </si>
  <si>
    <t>MOHAMMAD ABU BAKAR SAMSUDDIN</t>
  </si>
  <si>
    <t>abu.bakar.samsuddin@g.bracu.ac.bd</t>
  </si>
  <si>
    <t>23115004</t>
  </si>
  <si>
    <t>24121352</t>
  </si>
  <si>
    <t>23201453</t>
  </si>
  <si>
    <t>24301371</t>
  </si>
  <si>
    <t>24101054</t>
  </si>
  <si>
    <t>24304178</t>
  </si>
  <si>
    <t>24321140</t>
  </si>
  <si>
    <t>25121016</t>
  </si>
  <si>
    <t>1000054182</t>
  </si>
  <si>
    <t>1000054904</t>
  </si>
  <si>
    <t>1000055387</t>
  </si>
  <si>
    <t>1000055669</t>
  </si>
  <si>
    <t>1000056472</t>
  </si>
  <si>
    <t>1000055413</t>
  </si>
  <si>
    <t>1000056546</t>
  </si>
  <si>
    <t>1000056651</t>
  </si>
  <si>
    <t>1000057015</t>
  </si>
  <si>
    <t>1000057055</t>
  </si>
  <si>
    <t>1000057549</t>
  </si>
  <si>
    <t>1000056677</t>
  </si>
  <si>
    <t>1000057630</t>
  </si>
  <si>
    <t>1000056736</t>
  </si>
  <si>
    <t>1000057685</t>
  </si>
  <si>
    <t>1000056973</t>
  </si>
  <si>
    <t>1000057799</t>
  </si>
  <si>
    <t>1000057800</t>
  </si>
  <si>
    <t>1000057808</t>
  </si>
  <si>
    <t>1000057525</t>
  </si>
  <si>
    <t>1000057832</t>
  </si>
  <si>
    <t>1000058012</t>
  </si>
  <si>
    <t>1000058127</t>
  </si>
  <si>
    <t>1000058230</t>
  </si>
  <si>
    <t>1000058314</t>
  </si>
  <si>
    <t>1000058877</t>
  </si>
  <si>
    <t>1000058927</t>
  </si>
  <si>
    <t>1000058929</t>
  </si>
  <si>
    <t>1000058036</t>
  </si>
  <si>
    <t>1000058119</t>
  </si>
  <si>
    <t>24121338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</si>
</sst>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"/>
  </numFmts>
  <fonts count="8">
    <font>
      <sz val="10.0"/>
      <color rgb="FF000000"/>
      <name val="Arial"/>
      <scheme val="minor"/>
    </font>
    <font>
      <u/>
      <sz val="12.0"/>
      <color rgb="FF0000FF"/>
    </font>
    <font/>
    <font>
      <b/>
      <color theme="1"/>
      <name val="Arial"/>
      <scheme val="minor"/>
    </font>
    <font>
      <b/>
      <color rgb="FFFFFFFF"/>
      <name val="Arial"/>
      <scheme val="minor"/>
    </font>
    <font>
      <b/>
      <color rgb="FFFFFF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</fills>
  <borders count="15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ill="1" applyFont="1">
      <alignment readingOrder="0"/>
    </xf>
    <xf borderId="9" fillId="4" fontId="3" numFmtId="0" xfId="0" applyAlignment="1" applyBorder="1" applyFill="1" applyFont="1">
      <alignment horizontal="center" readingOrder="0"/>
    </xf>
    <xf borderId="9" fillId="5" fontId="4" numFmtId="0" xfId="0" applyAlignment="1" applyBorder="1" applyFill="1" applyFont="1">
      <alignment horizontal="center" readingOrder="0"/>
    </xf>
    <xf borderId="10" fillId="2" fontId="5" numFmtId="0" xfId="0" applyAlignment="1" applyBorder="1" applyFont="1">
      <alignment horizontal="center" readingOrder="0"/>
    </xf>
    <xf borderId="11" fillId="0" fontId="2" numFmtId="0" xfId="0" applyBorder="1" applyFont="1"/>
    <xf borderId="9" fillId="4" fontId="3" numFmtId="0" xfId="0" applyAlignment="1" applyBorder="1" applyFont="1">
      <alignment readingOrder="0"/>
    </xf>
    <xf borderId="0" fillId="0" fontId="6" numFmtId="0" xfId="0" applyFont="1"/>
    <xf borderId="9" fillId="0" fontId="7" numFmtId="0" xfId="0" applyAlignment="1" applyBorder="1" applyFont="1">
      <alignment readingOrder="0"/>
    </xf>
    <xf borderId="9" fillId="0" fontId="7" numFmtId="0" xfId="0" applyAlignment="1" applyBorder="1" applyFont="1">
      <alignment horizontal="left"/>
    </xf>
    <xf borderId="9" fillId="0" fontId="3" numFmtId="0" xfId="0" applyAlignment="1" applyBorder="1" applyFont="1">
      <alignment horizontal="left"/>
    </xf>
    <xf borderId="0" fillId="6" fontId="6" numFmtId="0" xfId="0" applyFill="1" applyFont="1"/>
    <xf borderId="10" fillId="7" fontId="3" numFmtId="0" xfId="0" applyAlignment="1" applyBorder="1" applyFill="1" applyFont="1">
      <alignment horizontal="center"/>
    </xf>
    <xf borderId="12" fillId="0" fontId="2" numFmtId="0" xfId="0" applyBorder="1" applyFont="1"/>
    <xf borderId="9" fillId="0" fontId="3" numFmtId="0" xfId="0" applyAlignment="1" applyBorder="1" applyFont="1">
      <alignment horizontal="center"/>
    </xf>
    <xf borderId="13" fillId="8" fontId="3" numFmtId="0" xfId="0" applyAlignment="1" applyBorder="1" applyFill="1" applyFont="1">
      <alignment horizontal="center" vertical="center"/>
    </xf>
    <xf borderId="10" fillId="9" fontId="3" numFmtId="0" xfId="0" applyAlignment="1" applyBorder="1" applyFill="1" applyFont="1">
      <alignment horizontal="center"/>
    </xf>
    <xf borderId="10" fillId="10" fontId="3" numFmtId="0" xfId="0" applyAlignment="1" applyBorder="1" applyFill="1" applyFont="1">
      <alignment horizontal="center" vertical="center"/>
    </xf>
    <xf borderId="13" fillId="11" fontId="3" numFmtId="0" xfId="0" applyAlignment="1" applyBorder="1" applyFill="1" applyFont="1">
      <alignment horizontal="center" vertical="center"/>
    </xf>
    <xf borderId="13" fillId="12" fontId="3" numFmtId="164" xfId="0" applyAlignment="1" applyBorder="1" applyFill="1" applyFont="1" applyNumberFormat="1">
      <alignment horizontal="center" vertical="center"/>
    </xf>
    <xf borderId="9" fillId="3" fontId="3" numFmtId="0" xfId="0" applyAlignment="1" applyBorder="1" applyFont="1">
      <alignment horizontal="center"/>
    </xf>
    <xf borderId="14" fillId="0" fontId="2" numFmtId="0" xfId="0" applyBorder="1" applyFont="1"/>
    <xf borderId="9" fillId="9" fontId="3" numFmtId="0" xfId="0" applyAlignment="1" applyBorder="1" applyFont="1">
      <alignment horizontal="center"/>
    </xf>
    <xf borderId="9" fillId="10" fontId="3" numFmtId="0" xfId="0" applyAlignment="1" applyBorder="1" applyFont="1">
      <alignment horizontal="center"/>
    </xf>
    <xf borderId="9" fillId="0" fontId="3" numFmtId="49" xfId="0" applyAlignment="1" applyBorder="1" applyFont="1" applyNumberFormat="1">
      <alignment horizontal="left"/>
    </xf>
    <xf borderId="0" fillId="0" fontId="6" numFmtId="49" xfId="0" applyFont="1" applyNumberFormat="1"/>
    <xf borderId="9" fillId="0" fontId="3" numFmtId="9" xfId="0" applyAlignment="1" applyBorder="1" applyFont="1" applyNumberFormat="1">
      <alignment horizontal="center"/>
    </xf>
    <xf borderId="9" fillId="0" fontId="6" numFmtId="0" xfId="0" applyAlignment="1" applyBorder="1" applyFont="1">
      <alignment horizontal="center"/>
    </xf>
    <xf borderId="9" fillId="0" fontId="3" numFmtId="165" xfId="0" applyAlignment="1" applyBorder="1" applyFont="1" applyNumberFormat="1">
      <alignment horizontal="center"/>
    </xf>
    <xf borderId="9" fillId="0" fontId="3" numFmtId="4" xfId="0" applyAlignment="1" applyBorder="1" applyFont="1" applyNumberFormat="1">
      <alignment horizontal="center"/>
    </xf>
    <xf borderId="9" fillId="13" fontId="3" numFmtId="0" xfId="0" applyAlignment="1" applyBorder="1" applyFill="1" applyFont="1">
      <alignment horizontal="left"/>
    </xf>
    <xf borderId="9" fillId="13" fontId="3" numFmtId="49" xfId="0" applyAlignment="1" applyBorder="1" applyFont="1" applyNumberFormat="1">
      <alignment horizontal="left"/>
    </xf>
    <xf borderId="0" fillId="13" fontId="6" numFmtId="0" xfId="0" applyFont="1"/>
    <xf borderId="0" fillId="13" fontId="6" numFmtId="49" xfId="0" applyFont="1" applyNumberFormat="1"/>
    <xf borderId="9" fillId="13" fontId="3" numFmtId="0" xfId="0" applyAlignment="1" applyBorder="1" applyFont="1">
      <alignment horizontal="center"/>
    </xf>
    <xf borderId="9" fillId="13" fontId="3" numFmtId="9" xfId="0" applyAlignment="1" applyBorder="1" applyFont="1" applyNumberFormat="1">
      <alignment horizontal="center"/>
    </xf>
    <xf borderId="9" fillId="13" fontId="6" numFmtId="0" xfId="0" applyAlignment="1" applyBorder="1" applyFont="1">
      <alignment horizontal="center"/>
    </xf>
    <xf borderId="9" fillId="13" fontId="3" numFmtId="165" xfId="0" applyAlignment="1" applyBorder="1" applyFont="1" applyNumberFormat="1">
      <alignment horizontal="center"/>
    </xf>
    <xf borderId="9" fillId="13" fontId="3" numFmtId="4" xfId="0" applyAlignment="1" applyBorder="1" applyFont="1" applyNumberFormat="1">
      <alignment horizontal="center"/>
    </xf>
    <xf borderId="9" fillId="2" fontId="3" numFmtId="0" xfId="0" applyAlignment="1" applyBorder="1" applyFont="1">
      <alignment horizontal="left"/>
    </xf>
    <xf borderId="9" fillId="2" fontId="3" numFmtId="49" xfId="0" applyAlignment="1" applyBorder="1" applyFont="1" applyNumberFormat="1">
      <alignment horizontal="left"/>
    </xf>
    <xf borderId="0" fillId="2" fontId="6" numFmtId="0" xfId="0" applyFont="1"/>
    <xf borderId="0" fillId="2" fontId="6" numFmtId="49" xfId="0" applyFont="1" applyNumberFormat="1"/>
    <xf borderId="9" fillId="2" fontId="3" numFmtId="0" xfId="0" applyAlignment="1" applyBorder="1" applyFont="1">
      <alignment horizontal="center"/>
    </xf>
    <xf borderId="9" fillId="2" fontId="3" numFmtId="9" xfId="0" applyAlignment="1" applyBorder="1" applyFont="1" applyNumberFormat="1">
      <alignment horizontal="center"/>
    </xf>
    <xf borderId="9" fillId="2" fontId="6" numFmtId="0" xfId="0" applyAlignment="1" applyBorder="1" applyFont="1">
      <alignment horizontal="center"/>
    </xf>
    <xf borderId="9" fillId="2" fontId="3" numFmtId="165" xfId="0" applyAlignment="1" applyBorder="1" applyFont="1" applyNumberFormat="1">
      <alignment horizontal="center"/>
    </xf>
    <xf borderId="9" fillId="2" fontId="3" numFmtId="4" xfId="0" applyAlignment="1" applyBorder="1" applyFont="1" applyNumberFormat="1">
      <alignment horizontal="center"/>
    </xf>
    <xf borderId="0" fillId="2" fontId="3" numFmtId="0" xfId="0" applyAlignment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0" fontId="6" numFmtId="0" xfId="0" applyAlignment="1" applyFont="1">
      <alignment readingOrder="0"/>
    </xf>
    <xf borderId="0" fillId="15" fontId="6" numFmtId="0" xfId="0" applyAlignment="1" applyFill="1" applyFont="1">
      <alignment horizontal="left" readingOrder="0"/>
    </xf>
    <xf borderId="0" fillId="0" fontId="6" numFmtId="49" xfId="0" applyFont="1" applyNumberFormat="1"/>
    <xf borderId="0" fillId="0" fontId="6" numFmtId="49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  <col customWidth="1" min="3" max="3" width="44.25"/>
  </cols>
  <sheetData>
    <row r="1" ht="9.75" customHeight="1"/>
    <row r="2">
      <c r="B2" s="1" t="s">
        <v>0</v>
      </c>
      <c r="C2" s="2"/>
      <c r="D2" s="2"/>
      <c r="E2" s="2"/>
      <c r="F2" s="2"/>
      <c r="G2" s="2"/>
      <c r="H2" s="2"/>
      <c r="I2" s="3"/>
    </row>
    <row r="3">
      <c r="B3" s="4"/>
      <c r="I3" s="5"/>
    </row>
    <row r="4">
      <c r="B4" s="4"/>
      <c r="I4" s="5"/>
    </row>
    <row r="5" ht="129.0" customHeight="1">
      <c r="B5" s="6"/>
      <c r="C5" s="7"/>
      <c r="D5" s="7"/>
      <c r="E5" s="7"/>
      <c r="F5" s="7"/>
      <c r="G5" s="7"/>
      <c r="H5" s="7"/>
      <c r="I5" s="8"/>
    </row>
    <row r="7">
      <c r="B7" s="9" t="s">
        <v>1</v>
      </c>
      <c r="C7" s="10" t="s">
        <v>2</v>
      </c>
    </row>
    <row r="8">
      <c r="B8" s="9" t="s">
        <v>3</v>
      </c>
      <c r="C8" s="10" t="s">
        <v>4</v>
      </c>
    </row>
    <row r="9">
      <c r="B9" s="9" t="s">
        <v>5</v>
      </c>
      <c r="C9" s="10" t="s">
        <v>6</v>
      </c>
    </row>
    <row r="10">
      <c r="B10" s="9" t="s">
        <v>7</v>
      </c>
      <c r="C10" s="10">
        <v>13.0</v>
      </c>
    </row>
    <row r="11">
      <c r="B11" s="9" t="s">
        <v>8</v>
      </c>
      <c r="C11" s="10" t="s">
        <v>9</v>
      </c>
    </row>
    <row r="12">
      <c r="B12" s="9" t="s">
        <v>10</v>
      </c>
      <c r="C12" s="10" t="str">
        <f>VLOOKUP(D12,FacultyInfo!$A$1:$F$265,6,FALSE)</f>
        <v>ext.naima.tahsin@bracu.ac.bd</v>
      </c>
      <c r="D12" s="11" t="s">
        <v>11</v>
      </c>
    </row>
    <row r="13">
      <c r="B13" s="9" t="s">
        <v>12</v>
      </c>
      <c r="C13" s="10" t="str">
        <f>VLOOKUP(D13,FacultyInfo!$A$1:$F$265,6,FALSE)</f>
        <v>mohammad.rakibul@bracu.ac.bd</v>
      </c>
      <c r="D13" s="11" t="s">
        <v>13</v>
      </c>
    </row>
    <row r="14">
      <c r="B14" s="12" t="s">
        <v>14</v>
      </c>
      <c r="C14" s="13"/>
    </row>
    <row r="15">
      <c r="B15" s="9" t="s">
        <v>15</v>
      </c>
      <c r="C15" s="14" t="s">
        <v>16</v>
      </c>
    </row>
    <row r="16">
      <c r="B16" s="9" t="s">
        <v>17</v>
      </c>
      <c r="C16" s="14" t="str">
        <f>"Section "&amp;C10</f>
        <v>Section 13</v>
      </c>
    </row>
    <row r="17">
      <c r="B17" s="9" t="s">
        <v>18</v>
      </c>
      <c r="C17" s="14" t="s">
        <v>19</v>
      </c>
    </row>
  </sheetData>
  <mergeCells count="2">
    <mergeCell ref="B2:I5"/>
    <mergeCell ref="B14:C14"/>
  </mergeCells>
  <dataValidations>
    <dataValidation type="list" allowBlank="1" showErrorMessage="1" sqref="C9">
      <formula1>"WED,THU"</formula1>
    </dataValidation>
  </dataValidations>
  <hyperlinks>
    <hyperlink display="README FIRST:&#10;1. First choose your lab day from the option WED for Wednesday and THU for Thursday in C9.&#10;2. Write your section number in C10.&#10;3. Provide Correct Initial of both Lab Faculty in D12 and D13, This will generate the Email Address of both Lab Faculty Automatically.&#10;4. After that make sure to hide this META sheet, so that students don't can see this information.&#10;5. Then go to MARKS sheet and in A9 (ORANGE color cell) allow access to get all the sectionwise data from Combined Attendance Sheet.&#10;&#10;[ NOTE: Don't give Edit Access to Students &amp; Don't write anything on MARKS Sheet ]&#10;&#10;** If you did not make any changes in the Combined Attendance Sheeet then it should show all the informations correctly.&#10;** If you face any difficulties to use it, feel free to contact me mohammad.rakibul@bracu.ac.bd" location="MARKS!A1" ref="B2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30.38"/>
    <col customWidth="1" min="3" max="3" width="26.88"/>
    <col customWidth="1" min="4" max="4" width="9.5"/>
    <col customWidth="1" min="5" max="5" width="10.75"/>
    <col customWidth="1" min="6" max="6" width="28.5"/>
  </cols>
  <sheetData>
    <row r="1">
      <c r="A1" s="15" t="s">
        <v>20</v>
      </c>
      <c r="B1" s="15" t="s">
        <v>21</v>
      </c>
      <c r="C1" s="15" t="s">
        <v>22</v>
      </c>
      <c r="D1" s="15" t="s">
        <v>23</v>
      </c>
      <c r="E1" s="15" t="s">
        <v>24</v>
      </c>
      <c r="F1" s="15" t="s">
        <v>25</v>
      </c>
    </row>
    <row r="2">
      <c r="A2" s="15" t="s">
        <v>26</v>
      </c>
      <c r="B2" s="15" t="s">
        <v>27</v>
      </c>
      <c r="C2" s="15" t="s">
        <v>28</v>
      </c>
      <c r="D2" s="15" t="s">
        <v>23</v>
      </c>
      <c r="E2" s="15" t="s">
        <v>29</v>
      </c>
      <c r="F2" s="15" t="s">
        <v>30</v>
      </c>
    </row>
    <row r="3">
      <c r="A3" s="15" t="s">
        <v>31</v>
      </c>
      <c r="B3" s="15" t="s">
        <v>32</v>
      </c>
      <c r="C3" s="15" t="s">
        <v>33</v>
      </c>
      <c r="D3" s="15" t="s">
        <v>23</v>
      </c>
      <c r="E3" s="15" t="s">
        <v>34</v>
      </c>
      <c r="F3" s="15" t="s">
        <v>35</v>
      </c>
    </row>
    <row r="4">
      <c r="A4" s="15" t="s">
        <v>36</v>
      </c>
      <c r="B4" s="15" t="s">
        <v>37</v>
      </c>
      <c r="C4" s="15" t="s">
        <v>33</v>
      </c>
      <c r="D4" s="15" t="s">
        <v>23</v>
      </c>
      <c r="E4" s="15" t="s">
        <v>38</v>
      </c>
      <c r="F4" s="15" t="s">
        <v>39</v>
      </c>
    </row>
    <row r="5">
      <c r="A5" s="15" t="s">
        <v>40</v>
      </c>
      <c r="B5" s="15" t="s">
        <v>41</v>
      </c>
      <c r="C5" s="15" t="s">
        <v>33</v>
      </c>
      <c r="D5" s="15" t="s">
        <v>23</v>
      </c>
      <c r="E5" s="15" t="s">
        <v>42</v>
      </c>
      <c r="F5" s="15" t="s">
        <v>43</v>
      </c>
    </row>
    <row r="6">
      <c r="A6" s="15" t="s">
        <v>44</v>
      </c>
      <c r="B6" s="15" t="s">
        <v>45</v>
      </c>
      <c r="C6" s="15" t="s">
        <v>33</v>
      </c>
      <c r="D6" s="15" t="s">
        <v>23</v>
      </c>
      <c r="E6" s="15" t="s">
        <v>46</v>
      </c>
      <c r="F6" s="15" t="s">
        <v>47</v>
      </c>
    </row>
    <row r="7">
      <c r="A7" s="15" t="s">
        <v>48</v>
      </c>
      <c r="B7" s="15" t="s">
        <v>49</v>
      </c>
      <c r="C7" s="15" t="s">
        <v>33</v>
      </c>
      <c r="D7" s="15" t="s">
        <v>23</v>
      </c>
      <c r="E7" s="15" t="s">
        <v>50</v>
      </c>
      <c r="F7" s="15" t="s">
        <v>51</v>
      </c>
    </row>
    <row r="8">
      <c r="A8" s="15" t="s">
        <v>52</v>
      </c>
      <c r="B8" s="15" t="s">
        <v>53</v>
      </c>
      <c r="C8" s="15" t="s">
        <v>33</v>
      </c>
      <c r="D8" s="15" t="s">
        <v>23</v>
      </c>
      <c r="E8" s="15" t="s">
        <v>54</v>
      </c>
      <c r="F8" s="15" t="s">
        <v>55</v>
      </c>
    </row>
    <row r="9">
      <c r="A9" s="15" t="s">
        <v>56</v>
      </c>
      <c r="B9" s="15" t="s">
        <v>57</v>
      </c>
      <c r="C9" s="15" t="s">
        <v>33</v>
      </c>
      <c r="D9" s="15" t="s">
        <v>23</v>
      </c>
      <c r="E9" s="15" t="s">
        <v>58</v>
      </c>
      <c r="F9" s="15" t="s">
        <v>59</v>
      </c>
    </row>
    <row r="10">
      <c r="A10" s="15" t="s">
        <v>60</v>
      </c>
      <c r="B10" s="15" t="s">
        <v>61</v>
      </c>
      <c r="C10" s="15" t="s">
        <v>22</v>
      </c>
      <c r="D10" s="15" t="s">
        <v>23</v>
      </c>
      <c r="E10" s="15" t="s">
        <v>62</v>
      </c>
      <c r="F10" s="15" t="s">
        <v>63</v>
      </c>
    </row>
    <row r="11">
      <c r="A11" s="15" t="s">
        <v>64</v>
      </c>
      <c r="B11" s="15" t="s">
        <v>65</v>
      </c>
      <c r="C11" s="15" t="s">
        <v>66</v>
      </c>
      <c r="D11" s="15" t="s">
        <v>23</v>
      </c>
      <c r="E11" s="15" t="s">
        <v>67</v>
      </c>
      <c r="F11" s="15" t="s">
        <v>68</v>
      </c>
    </row>
    <row r="12">
      <c r="A12" s="15" t="s">
        <v>69</v>
      </c>
      <c r="B12" s="15" t="s">
        <v>70</v>
      </c>
      <c r="C12" s="15" t="s">
        <v>33</v>
      </c>
      <c r="D12" s="15" t="s">
        <v>23</v>
      </c>
      <c r="E12" s="15" t="s">
        <v>71</v>
      </c>
      <c r="F12" s="15" t="s">
        <v>72</v>
      </c>
    </row>
    <row r="13">
      <c r="A13" s="15" t="s">
        <v>73</v>
      </c>
      <c r="B13" s="15" t="s">
        <v>74</v>
      </c>
      <c r="C13" s="15" t="s">
        <v>33</v>
      </c>
      <c r="D13" s="15" t="s">
        <v>23</v>
      </c>
      <c r="E13" s="15" t="s">
        <v>75</v>
      </c>
      <c r="F13" s="15" t="s">
        <v>76</v>
      </c>
    </row>
    <row r="14">
      <c r="A14" s="15" t="s">
        <v>77</v>
      </c>
      <c r="B14" s="15" t="s">
        <v>78</v>
      </c>
      <c r="C14" s="15" t="s">
        <v>33</v>
      </c>
      <c r="D14" s="15" t="s">
        <v>23</v>
      </c>
      <c r="E14" s="15" t="s">
        <v>79</v>
      </c>
      <c r="F14" s="15" t="s">
        <v>80</v>
      </c>
    </row>
    <row r="15">
      <c r="A15" s="15" t="s">
        <v>81</v>
      </c>
      <c r="B15" s="15" t="s">
        <v>82</v>
      </c>
      <c r="C15" s="15" t="s">
        <v>33</v>
      </c>
      <c r="D15" s="15" t="s">
        <v>23</v>
      </c>
      <c r="E15" s="15" t="s">
        <v>83</v>
      </c>
      <c r="F15" s="15" t="s">
        <v>84</v>
      </c>
    </row>
    <row r="16">
      <c r="A16" s="15" t="s">
        <v>85</v>
      </c>
      <c r="B16" s="15" t="s">
        <v>86</v>
      </c>
      <c r="C16" s="15" t="s">
        <v>33</v>
      </c>
      <c r="D16" s="15" t="s">
        <v>23</v>
      </c>
      <c r="E16" s="15" t="s">
        <v>87</v>
      </c>
      <c r="F16" s="15" t="s">
        <v>88</v>
      </c>
    </row>
    <row r="17">
      <c r="A17" s="15" t="s">
        <v>89</v>
      </c>
      <c r="B17" s="15" t="s">
        <v>90</v>
      </c>
      <c r="C17" s="15" t="s">
        <v>33</v>
      </c>
      <c r="D17" s="15" t="s">
        <v>23</v>
      </c>
      <c r="E17" s="15" t="s">
        <v>91</v>
      </c>
      <c r="F17" s="15" t="s">
        <v>92</v>
      </c>
    </row>
    <row r="18">
      <c r="A18" s="15" t="s">
        <v>93</v>
      </c>
      <c r="B18" s="15" t="s">
        <v>94</v>
      </c>
      <c r="C18" s="15" t="s">
        <v>33</v>
      </c>
      <c r="D18" s="15" t="s">
        <v>23</v>
      </c>
      <c r="E18" s="15" t="s">
        <v>95</v>
      </c>
      <c r="F18" s="15" t="s">
        <v>96</v>
      </c>
    </row>
    <row r="19">
      <c r="A19" s="15" t="s">
        <v>97</v>
      </c>
      <c r="B19" s="15" t="s">
        <v>98</v>
      </c>
      <c r="C19" s="15" t="s">
        <v>66</v>
      </c>
      <c r="D19" s="15" t="s">
        <v>23</v>
      </c>
      <c r="E19" s="15" t="s">
        <v>99</v>
      </c>
      <c r="F19" s="15" t="s">
        <v>100</v>
      </c>
    </row>
    <row r="20">
      <c r="A20" s="15" t="s">
        <v>101</v>
      </c>
      <c r="B20" s="15" t="s">
        <v>102</v>
      </c>
      <c r="C20" s="15" t="s">
        <v>33</v>
      </c>
      <c r="D20" s="15" t="s">
        <v>23</v>
      </c>
      <c r="E20" s="15" t="s">
        <v>103</v>
      </c>
      <c r="F20" s="15" t="s">
        <v>104</v>
      </c>
    </row>
    <row r="21">
      <c r="A21" s="15" t="s">
        <v>105</v>
      </c>
      <c r="B21" s="15" t="s">
        <v>106</v>
      </c>
      <c r="C21" s="15" t="s">
        <v>33</v>
      </c>
      <c r="D21" s="15" t="s">
        <v>23</v>
      </c>
      <c r="E21" s="15" t="s">
        <v>107</v>
      </c>
      <c r="F21" s="15" t="s">
        <v>108</v>
      </c>
    </row>
    <row r="22">
      <c r="A22" s="15" t="s">
        <v>109</v>
      </c>
      <c r="B22" s="15" t="s">
        <v>110</v>
      </c>
      <c r="C22" s="15" t="s">
        <v>33</v>
      </c>
      <c r="D22" s="15" t="s">
        <v>23</v>
      </c>
      <c r="E22" s="15" t="s">
        <v>111</v>
      </c>
      <c r="F22" s="15" t="s">
        <v>112</v>
      </c>
    </row>
    <row r="23">
      <c r="A23" s="15" t="s">
        <v>113</v>
      </c>
      <c r="B23" s="15" t="s">
        <v>114</v>
      </c>
      <c r="C23" s="15" t="s">
        <v>33</v>
      </c>
      <c r="D23" s="15" t="s">
        <v>23</v>
      </c>
      <c r="E23" s="15" t="s">
        <v>115</v>
      </c>
      <c r="F23" s="15" t="s">
        <v>116</v>
      </c>
    </row>
    <row r="24">
      <c r="A24" s="15" t="s">
        <v>117</v>
      </c>
      <c r="B24" s="15" t="s">
        <v>118</v>
      </c>
      <c r="C24" s="15" t="s">
        <v>33</v>
      </c>
      <c r="D24" s="15" t="s">
        <v>23</v>
      </c>
      <c r="E24" s="15" t="s">
        <v>119</v>
      </c>
      <c r="F24" s="15" t="s">
        <v>120</v>
      </c>
    </row>
    <row r="25">
      <c r="A25" s="15" t="s">
        <v>121</v>
      </c>
      <c r="B25" s="15" t="s">
        <v>122</v>
      </c>
      <c r="C25" s="15" t="s">
        <v>33</v>
      </c>
      <c r="D25" s="15" t="s">
        <v>23</v>
      </c>
      <c r="E25" s="15" t="s">
        <v>123</v>
      </c>
      <c r="F25" s="15" t="s">
        <v>124</v>
      </c>
    </row>
    <row r="26">
      <c r="A26" s="15" t="s">
        <v>125</v>
      </c>
      <c r="B26" s="15" t="s">
        <v>126</v>
      </c>
      <c r="C26" s="15" t="s">
        <v>33</v>
      </c>
      <c r="D26" s="15" t="s">
        <v>23</v>
      </c>
      <c r="E26" s="15" t="s">
        <v>127</v>
      </c>
      <c r="F26" s="15" t="s">
        <v>128</v>
      </c>
    </row>
    <row r="27">
      <c r="A27" s="15" t="s">
        <v>129</v>
      </c>
      <c r="B27" s="15" t="s">
        <v>130</v>
      </c>
      <c r="C27" s="15" t="s">
        <v>28</v>
      </c>
      <c r="D27" s="15" t="s">
        <v>23</v>
      </c>
      <c r="E27" s="15" t="s">
        <v>131</v>
      </c>
      <c r="F27" s="15" t="s">
        <v>132</v>
      </c>
    </row>
    <row r="28">
      <c r="A28" s="15" t="s">
        <v>133</v>
      </c>
      <c r="B28" s="15" t="s">
        <v>134</v>
      </c>
      <c r="C28" s="15" t="s">
        <v>33</v>
      </c>
      <c r="D28" s="15" t="s">
        <v>23</v>
      </c>
      <c r="E28" s="15" t="s">
        <v>135</v>
      </c>
      <c r="F28" s="15" t="s">
        <v>136</v>
      </c>
    </row>
    <row r="29">
      <c r="A29" s="15" t="s">
        <v>137</v>
      </c>
      <c r="B29" s="15" t="s">
        <v>138</v>
      </c>
      <c r="C29" s="15" t="s">
        <v>33</v>
      </c>
      <c r="D29" s="15" t="s">
        <v>23</v>
      </c>
      <c r="E29" s="15" t="s">
        <v>139</v>
      </c>
      <c r="F29" s="15" t="s">
        <v>140</v>
      </c>
    </row>
    <row r="30">
      <c r="A30" s="15" t="s">
        <v>141</v>
      </c>
      <c r="B30" s="15" t="s">
        <v>142</v>
      </c>
      <c r="C30" s="15" t="s">
        <v>22</v>
      </c>
      <c r="D30" s="15" t="s">
        <v>23</v>
      </c>
      <c r="E30" s="15" t="s">
        <v>143</v>
      </c>
      <c r="F30" s="15" t="s">
        <v>144</v>
      </c>
    </row>
    <row r="31">
      <c r="A31" s="15" t="s">
        <v>145</v>
      </c>
      <c r="B31" s="15" t="s">
        <v>146</v>
      </c>
      <c r="C31" s="15" t="s">
        <v>33</v>
      </c>
      <c r="D31" s="15" t="s">
        <v>23</v>
      </c>
      <c r="E31" s="15" t="s">
        <v>147</v>
      </c>
      <c r="F31" s="15" t="s">
        <v>148</v>
      </c>
    </row>
    <row r="32">
      <c r="A32" s="15" t="s">
        <v>149</v>
      </c>
      <c r="B32" s="15" t="s">
        <v>150</v>
      </c>
      <c r="C32" s="15" t="s">
        <v>33</v>
      </c>
      <c r="D32" s="15" t="s">
        <v>23</v>
      </c>
      <c r="E32" s="15" t="s">
        <v>151</v>
      </c>
      <c r="F32" s="15" t="s">
        <v>152</v>
      </c>
    </row>
    <row r="33">
      <c r="A33" s="15" t="s">
        <v>153</v>
      </c>
      <c r="B33" s="15" t="s">
        <v>154</v>
      </c>
      <c r="C33" s="15" t="s">
        <v>33</v>
      </c>
      <c r="D33" s="15" t="s">
        <v>23</v>
      </c>
      <c r="E33" s="15" t="s">
        <v>155</v>
      </c>
      <c r="F33" s="15" t="s">
        <v>156</v>
      </c>
    </row>
    <row r="34">
      <c r="A34" s="15" t="s">
        <v>157</v>
      </c>
      <c r="B34" s="15" t="s">
        <v>158</v>
      </c>
      <c r="C34" s="15" t="s">
        <v>28</v>
      </c>
      <c r="D34" s="15" t="s">
        <v>23</v>
      </c>
      <c r="E34" s="15" t="s">
        <v>159</v>
      </c>
      <c r="F34" s="15" t="s">
        <v>160</v>
      </c>
    </row>
    <row r="35">
      <c r="A35" s="15" t="s">
        <v>161</v>
      </c>
      <c r="B35" s="15" t="s">
        <v>162</v>
      </c>
      <c r="C35" s="15" t="s">
        <v>33</v>
      </c>
      <c r="D35" s="15" t="s">
        <v>23</v>
      </c>
      <c r="E35" s="15" t="s">
        <v>163</v>
      </c>
      <c r="F35" s="15" t="s">
        <v>164</v>
      </c>
    </row>
    <row r="36">
      <c r="A36" s="15" t="s">
        <v>165</v>
      </c>
      <c r="B36" s="15" t="s">
        <v>166</v>
      </c>
      <c r="C36" s="15" t="s">
        <v>33</v>
      </c>
      <c r="D36" s="15" t="s">
        <v>23</v>
      </c>
      <c r="E36" s="15" t="s">
        <v>167</v>
      </c>
      <c r="F36" s="15" t="s">
        <v>168</v>
      </c>
    </row>
    <row r="37">
      <c r="A37" s="15" t="s">
        <v>169</v>
      </c>
      <c r="B37" s="15" t="s">
        <v>170</v>
      </c>
      <c r="C37" s="15" t="s">
        <v>33</v>
      </c>
      <c r="D37" s="15" t="s">
        <v>23</v>
      </c>
      <c r="E37" s="15" t="s">
        <v>171</v>
      </c>
      <c r="F37" s="15" t="s">
        <v>172</v>
      </c>
    </row>
    <row r="38">
      <c r="A38" s="15" t="s">
        <v>173</v>
      </c>
      <c r="B38" s="15" t="s">
        <v>174</v>
      </c>
      <c r="C38" s="15" t="s">
        <v>33</v>
      </c>
      <c r="D38" s="15" t="s">
        <v>23</v>
      </c>
      <c r="E38" s="15" t="s">
        <v>175</v>
      </c>
      <c r="F38" s="15" t="s">
        <v>176</v>
      </c>
    </row>
    <row r="39">
      <c r="A39" s="15" t="s">
        <v>177</v>
      </c>
      <c r="B39" s="15" t="s">
        <v>178</v>
      </c>
      <c r="C39" s="15" t="s">
        <v>66</v>
      </c>
      <c r="D39" s="15" t="s">
        <v>23</v>
      </c>
      <c r="E39" s="15" t="s">
        <v>179</v>
      </c>
      <c r="F39" s="15" t="s">
        <v>180</v>
      </c>
    </row>
    <row r="40">
      <c r="A40" s="15" t="s">
        <v>181</v>
      </c>
      <c r="B40" s="15" t="s">
        <v>182</v>
      </c>
      <c r="C40" s="15" t="s">
        <v>33</v>
      </c>
      <c r="D40" s="15" t="s">
        <v>23</v>
      </c>
      <c r="E40" s="15" t="s">
        <v>183</v>
      </c>
      <c r="F40" s="15" t="s">
        <v>184</v>
      </c>
    </row>
    <row r="41">
      <c r="A41" s="15" t="s">
        <v>185</v>
      </c>
      <c r="B41" s="15" t="s">
        <v>186</v>
      </c>
      <c r="C41" s="15" t="s">
        <v>28</v>
      </c>
      <c r="D41" s="15" t="s">
        <v>23</v>
      </c>
      <c r="E41" s="15" t="s">
        <v>187</v>
      </c>
      <c r="F41" s="15" t="s">
        <v>188</v>
      </c>
    </row>
    <row r="42">
      <c r="A42" s="15" t="s">
        <v>189</v>
      </c>
      <c r="B42" s="15" t="s">
        <v>190</v>
      </c>
      <c r="C42" s="15" t="s">
        <v>33</v>
      </c>
      <c r="D42" s="15" t="s">
        <v>23</v>
      </c>
      <c r="E42" s="15" t="s">
        <v>191</v>
      </c>
      <c r="F42" s="15" t="s">
        <v>192</v>
      </c>
    </row>
    <row r="43">
      <c r="A43" s="15" t="s">
        <v>193</v>
      </c>
      <c r="B43" s="15" t="s">
        <v>194</v>
      </c>
      <c r="C43" s="15" t="s">
        <v>33</v>
      </c>
      <c r="D43" s="15" t="s">
        <v>23</v>
      </c>
      <c r="E43" s="15" t="s">
        <v>195</v>
      </c>
      <c r="F43" s="15" t="s">
        <v>196</v>
      </c>
    </row>
    <row r="44">
      <c r="A44" s="15" t="s">
        <v>197</v>
      </c>
      <c r="B44" s="15" t="s">
        <v>198</v>
      </c>
      <c r="C44" s="15" t="s">
        <v>22</v>
      </c>
      <c r="D44" s="15" t="s">
        <v>23</v>
      </c>
      <c r="E44" s="15" t="s">
        <v>199</v>
      </c>
      <c r="F44" s="15" t="s">
        <v>200</v>
      </c>
    </row>
    <row r="45">
      <c r="A45" s="15" t="s">
        <v>201</v>
      </c>
      <c r="B45" s="15" t="s">
        <v>202</v>
      </c>
      <c r="C45" s="15" t="s">
        <v>33</v>
      </c>
      <c r="D45" s="15" t="s">
        <v>23</v>
      </c>
      <c r="E45" s="15" t="s">
        <v>203</v>
      </c>
      <c r="F45" s="15" t="s">
        <v>204</v>
      </c>
    </row>
    <row r="46">
      <c r="A46" s="15" t="s">
        <v>205</v>
      </c>
      <c r="B46" s="15" t="s">
        <v>206</v>
      </c>
      <c r="C46" s="15" t="s">
        <v>33</v>
      </c>
      <c r="D46" s="15" t="s">
        <v>23</v>
      </c>
      <c r="E46" s="15" t="s">
        <v>207</v>
      </c>
      <c r="F46" s="15" t="s">
        <v>208</v>
      </c>
    </row>
    <row r="47">
      <c r="A47" s="15" t="s">
        <v>209</v>
      </c>
      <c r="B47" s="15" t="s">
        <v>210</v>
      </c>
      <c r="C47" s="15" t="s">
        <v>33</v>
      </c>
      <c r="D47" s="15" t="s">
        <v>23</v>
      </c>
      <c r="E47" s="15" t="s">
        <v>211</v>
      </c>
      <c r="F47" s="15" t="s">
        <v>212</v>
      </c>
    </row>
    <row r="48">
      <c r="A48" s="15" t="s">
        <v>213</v>
      </c>
      <c r="B48" s="15" t="s">
        <v>214</v>
      </c>
      <c r="C48" s="15" t="s">
        <v>28</v>
      </c>
      <c r="D48" s="15" t="s">
        <v>23</v>
      </c>
      <c r="E48" s="15" t="s">
        <v>215</v>
      </c>
      <c r="F48" s="15" t="s">
        <v>216</v>
      </c>
    </row>
    <row r="49">
      <c r="A49" s="15" t="s">
        <v>217</v>
      </c>
      <c r="B49" s="15" t="s">
        <v>218</v>
      </c>
      <c r="C49" s="15" t="s">
        <v>33</v>
      </c>
      <c r="D49" s="15" t="s">
        <v>23</v>
      </c>
      <c r="E49" s="15" t="s">
        <v>219</v>
      </c>
      <c r="F49" s="15" t="s">
        <v>220</v>
      </c>
    </row>
    <row r="50">
      <c r="A50" s="15" t="s">
        <v>221</v>
      </c>
      <c r="B50" s="15" t="s">
        <v>222</v>
      </c>
      <c r="C50" s="15" t="s">
        <v>33</v>
      </c>
      <c r="D50" s="15" t="s">
        <v>23</v>
      </c>
      <c r="E50" s="15" t="s">
        <v>223</v>
      </c>
      <c r="F50" s="15" t="s">
        <v>224</v>
      </c>
    </row>
    <row r="51">
      <c r="A51" s="15" t="s">
        <v>225</v>
      </c>
      <c r="B51" s="15" t="s">
        <v>226</v>
      </c>
      <c r="C51" s="15" t="s">
        <v>33</v>
      </c>
      <c r="D51" s="15" t="s">
        <v>23</v>
      </c>
      <c r="E51" s="15" t="s">
        <v>227</v>
      </c>
      <c r="F51" s="15" t="s">
        <v>228</v>
      </c>
    </row>
    <row r="52">
      <c r="A52" s="15" t="s">
        <v>229</v>
      </c>
      <c r="B52" s="15" t="s">
        <v>230</v>
      </c>
      <c r="C52" s="15" t="s">
        <v>28</v>
      </c>
      <c r="D52" s="15" t="s">
        <v>23</v>
      </c>
      <c r="E52" s="15" t="s">
        <v>231</v>
      </c>
      <c r="F52" s="15" t="s">
        <v>232</v>
      </c>
    </row>
    <row r="53">
      <c r="A53" s="15" t="s">
        <v>233</v>
      </c>
      <c r="B53" s="15" t="s">
        <v>234</v>
      </c>
      <c r="C53" s="15" t="s">
        <v>33</v>
      </c>
      <c r="D53" s="15" t="s">
        <v>23</v>
      </c>
      <c r="E53" s="15" t="s">
        <v>235</v>
      </c>
      <c r="F53" s="15" t="s">
        <v>236</v>
      </c>
    </row>
    <row r="54">
      <c r="A54" s="15" t="s">
        <v>237</v>
      </c>
      <c r="B54" s="15" t="s">
        <v>238</v>
      </c>
      <c r="C54" s="15" t="s">
        <v>33</v>
      </c>
      <c r="D54" s="15" t="s">
        <v>23</v>
      </c>
      <c r="E54" s="15" t="s">
        <v>239</v>
      </c>
      <c r="F54" s="15" t="s">
        <v>240</v>
      </c>
    </row>
    <row r="55">
      <c r="A55" s="15" t="s">
        <v>241</v>
      </c>
      <c r="B55" s="15" t="s">
        <v>242</v>
      </c>
      <c r="C55" s="15" t="s">
        <v>33</v>
      </c>
      <c r="D55" s="15" t="s">
        <v>23</v>
      </c>
      <c r="E55" s="15" t="s">
        <v>243</v>
      </c>
      <c r="F55" s="15" t="s">
        <v>244</v>
      </c>
    </row>
    <row r="56">
      <c r="A56" s="15" t="s">
        <v>245</v>
      </c>
      <c r="B56" s="15" t="s">
        <v>246</v>
      </c>
      <c r="C56" s="15" t="s">
        <v>22</v>
      </c>
      <c r="D56" s="15" t="s">
        <v>23</v>
      </c>
      <c r="E56" s="15" t="s">
        <v>247</v>
      </c>
      <c r="F56" s="15" t="s">
        <v>248</v>
      </c>
    </row>
    <row r="57">
      <c r="A57" s="15" t="s">
        <v>249</v>
      </c>
      <c r="B57" s="15" t="s">
        <v>250</v>
      </c>
      <c r="C57" s="15" t="s">
        <v>33</v>
      </c>
      <c r="D57" s="15" t="s">
        <v>23</v>
      </c>
      <c r="E57" s="15" t="s">
        <v>251</v>
      </c>
      <c r="F57" s="15" t="s">
        <v>252</v>
      </c>
    </row>
    <row r="58">
      <c r="A58" s="15" t="s">
        <v>253</v>
      </c>
      <c r="B58" s="15" t="s">
        <v>254</v>
      </c>
      <c r="C58" s="15" t="s">
        <v>33</v>
      </c>
      <c r="D58" s="15" t="s">
        <v>23</v>
      </c>
      <c r="E58" s="15" t="s">
        <v>255</v>
      </c>
      <c r="F58" s="15" t="s">
        <v>256</v>
      </c>
    </row>
    <row r="59">
      <c r="A59" s="15" t="s">
        <v>257</v>
      </c>
      <c r="B59" s="15" t="s">
        <v>258</v>
      </c>
      <c r="C59" s="15" t="s">
        <v>33</v>
      </c>
      <c r="D59" s="15" t="s">
        <v>23</v>
      </c>
      <c r="E59" s="15" t="s">
        <v>259</v>
      </c>
      <c r="F59" s="15" t="s">
        <v>260</v>
      </c>
    </row>
    <row r="60">
      <c r="A60" s="15" t="s">
        <v>261</v>
      </c>
      <c r="B60" s="15" t="s">
        <v>262</v>
      </c>
      <c r="C60" s="15" t="s">
        <v>33</v>
      </c>
      <c r="D60" s="15" t="s">
        <v>23</v>
      </c>
      <c r="E60" s="15" t="s">
        <v>263</v>
      </c>
      <c r="F60" s="15" t="s">
        <v>264</v>
      </c>
    </row>
    <row r="61">
      <c r="A61" s="15" t="s">
        <v>265</v>
      </c>
      <c r="B61" s="15" t="s">
        <v>266</v>
      </c>
      <c r="C61" s="15" t="s">
        <v>33</v>
      </c>
      <c r="D61" s="15" t="s">
        <v>23</v>
      </c>
      <c r="E61" s="15" t="s">
        <v>267</v>
      </c>
      <c r="F61" s="15" t="s">
        <v>268</v>
      </c>
    </row>
    <row r="62">
      <c r="A62" s="15" t="s">
        <v>269</v>
      </c>
      <c r="B62" s="15" t="s">
        <v>270</v>
      </c>
      <c r="C62" s="15" t="s">
        <v>66</v>
      </c>
      <c r="D62" s="15" t="s">
        <v>23</v>
      </c>
      <c r="E62" s="15" t="s">
        <v>271</v>
      </c>
      <c r="F62" s="15" t="s">
        <v>272</v>
      </c>
    </row>
    <row r="63">
      <c r="A63" s="15" t="s">
        <v>273</v>
      </c>
      <c r="B63" s="15" t="s">
        <v>274</v>
      </c>
      <c r="C63" s="15" t="s">
        <v>33</v>
      </c>
      <c r="D63" s="15" t="s">
        <v>23</v>
      </c>
      <c r="E63" s="15" t="s">
        <v>275</v>
      </c>
      <c r="F63" s="15" t="s">
        <v>276</v>
      </c>
    </row>
    <row r="64">
      <c r="A64" s="15" t="s">
        <v>277</v>
      </c>
      <c r="B64" s="15" t="s">
        <v>278</v>
      </c>
      <c r="C64" s="15" t="s">
        <v>22</v>
      </c>
      <c r="D64" s="15" t="s">
        <v>23</v>
      </c>
      <c r="E64" s="15" t="s">
        <v>199</v>
      </c>
      <c r="F64" s="15" t="s">
        <v>279</v>
      </c>
    </row>
    <row r="65">
      <c r="A65" s="15" t="s">
        <v>280</v>
      </c>
      <c r="B65" s="15" t="s">
        <v>281</v>
      </c>
      <c r="C65" s="15" t="s">
        <v>33</v>
      </c>
      <c r="D65" s="15" t="s">
        <v>23</v>
      </c>
      <c r="E65" s="15" t="s">
        <v>282</v>
      </c>
      <c r="F65" s="15" t="s">
        <v>283</v>
      </c>
    </row>
    <row r="66">
      <c r="A66" s="15" t="s">
        <v>284</v>
      </c>
      <c r="B66" s="15" t="s">
        <v>285</v>
      </c>
      <c r="C66" s="15" t="s">
        <v>33</v>
      </c>
      <c r="D66" s="15" t="s">
        <v>23</v>
      </c>
      <c r="E66" s="15" t="s">
        <v>286</v>
      </c>
      <c r="F66" s="15" t="s">
        <v>287</v>
      </c>
    </row>
    <row r="67">
      <c r="A67" s="15" t="s">
        <v>288</v>
      </c>
      <c r="B67" s="15" t="s">
        <v>289</v>
      </c>
      <c r="C67" s="15" t="s">
        <v>66</v>
      </c>
      <c r="D67" s="15" t="s">
        <v>23</v>
      </c>
      <c r="E67" s="15" t="s">
        <v>290</v>
      </c>
      <c r="F67" s="15" t="s">
        <v>291</v>
      </c>
    </row>
    <row r="68">
      <c r="A68" s="15" t="s">
        <v>292</v>
      </c>
      <c r="B68" s="15" t="s">
        <v>293</v>
      </c>
      <c r="C68" s="15" t="s">
        <v>33</v>
      </c>
      <c r="D68" s="15" t="s">
        <v>23</v>
      </c>
      <c r="E68" s="15" t="s">
        <v>294</v>
      </c>
      <c r="F68" s="15" t="s">
        <v>295</v>
      </c>
    </row>
    <row r="69">
      <c r="A69" s="15" t="s">
        <v>296</v>
      </c>
      <c r="B69" s="15" t="s">
        <v>297</v>
      </c>
      <c r="C69" s="15" t="s">
        <v>28</v>
      </c>
      <c r="D69" s="15" t="s">
        <v>23</v>
      </c>
      <c r="E69" s="15" t="s">
        <v>298</v>
      </c>
      <c r="F69" s="15" t="s">
        <v>299</v>
      </c>
    </row>
    <row r="70">
      <c r="A70" s="15" t="s">
        <v>300</v>
      </c>
      <c r="B70" s="15" t="s">
        <v>301</v>
      </c>
      <c r="C70" s="15" t="s">
        <v>66</v>
      </c>
      <c r="D70" s="15" t="s">
        <v>23</v>
      </c>
      <c r="E70" s="15" t="s">
        <v>302</v>
      </c>
      <c r="F70" s="15" t="s">
        <v>303</v>
      </c>
    </row>
    <row r="71">
      <c r="A71" s="15" t="s">
        <v>304</v>
      </c>
      <c r="B71" s="15" t="s">
        <v>305</v>
      </c>
      <c r="C71" s="15" t="s">
        <v>22</v>
      </c>
      <c r="D71" s="15" t="s">
        <v>23</v>
      </c>
      <c r="E71" s="15" t="s">
        <v>306</v>
      </c>
      <c r="F71" s="15" t="s">
        <v>307</v>
      </c>
    </row>
    <row r="72">
      <c r="A72" s="15" t="s">
        <v>308</v>
      </c>
      <c r="B72" s="15" t="s">
        <v>309</v>
      </c>
      <c r="C72" s="15" t="s">
        <v>33</v>
      </c>
      <c r="D72" s="15" t="s">
        <v>23</v>
      </c>
      <c r="E72" s="15" t="s">
        <v>310</v>
      </c>
      <c r="F72" s="15" t="s">
        <v>311</v>
      </c>
    </row>
    <row r="73">
      <c r="A73" s="15" t="s">
        <v>312</v>
      </c>
      <c r="B73" s="15" t="s">
        <v>313</v>
      </c>
      <c r="C73" s="15" t="s">
        <v>33</v>
      </c>
      <c r="D73" s="15" t="s">
        <v>23</v>
      </c>
      <c r="E73" s="15" t="s">
        <v>314</v>
      </c>
      <c r="F73" s="15" t="s">
        <v>315</v>
      </c>
    </row>
    <row r="74">
      <c r="A74" s="15" t="s">
        <v>316</v>
      </c>
      <c r="B74" s="15" t="s">
        <v>317</v>
      </c>
      <c r="C74" s="15" t="s">
        <v>33</v>
      </c>
      <c r="D74" s="15" t="s">
        <v>23</v>
      </c>
      <c r="E74" s="15" t="s">
        <v>318</v>
      </c>
      <c r="F74" s="15" t="s">
        <v>319</v>
      </c>
    </row>
    <row r="75">
      <c r="A75" s="15" t="s">
        <v>320</v>
      </c>
      <c r="B75" s="15" t="s">
        <v>321</v>
      </c>
      <c r="C75" s="15" t="s">
        <v>33</v>
      </c>
      <c r="D75" s="15" t="s">
        <v>23</v>
      </c>
      <c r="E75" s="15" t="s">
        <v>322</v>
      </c>
      <c r="F75" s="15" t="s">
        <v>323</v>
      </c>
    </row>
    <row r="76">
      <c r="A76" s="15" t="s">
        <v>324</v>
      </c>
      <c r="B76" s="15" t="s">
        <v>325</v>
      </c>
      <c r="C76" s="15" t="s">
        <v>33</v>
      </c>
      <c r="D76" s="15" t="s">
        <v>23</v>
      </c>
      <c r="E76" s="15" t="s">
        <v>326</v>
      </c>
      <c r="F76" s="15" t="s">
        <v>327</v>
      </c>
    </row>
    <row r="77">
      <c r="A77" s="15" t="s">
        <v>328</v>
      </c>
      <c r="B77" s="15" t="s">
        <v>329</v>
      </c>
      <c r="C77" s="15" t="s">
        <v>33</v>
      </c>
      <c r="D77" s="15" t="s">
        <v>23</v>
      </c>
      <c r="E77" s="15" t="s">
        <v>330</v>
      </c>
      <c r="F77" s="15" t="s">
        <v>331</v>
      </c>
    </row>
    <row r="78">
      <c r="A78" s="15" t="s">
        <v>332</v>
      </c>
      <c r="B78" s="15" t="s">
        <v>333</v>
      </c>
      <c r="C78" s="15" t="s">
        <v>33</v>
      </c>
      <c r="D78" s="15" t="s">
        <v>23</v>
      </c>
      <c r="E78" s="15" t="s">
        <v>334</v>
      </c>
      <c r="F78" s="15" t="s">
        <v>335</v>
      </c>
    </row>
    <row r="79">
      <c r="A79" s="15" t="s">
        <v>336</v>
      </c>
      <c r="B79" s="15" t="s">
        <v>337</v>
      </c>
      <c r="C79" s="15" t="s">
        <v>22</v>
      </c>
      <c r="D79" s="15" t="s">
        <v>23</v>
      </c>
      <c r="E79" s="15" t="s">
        <v>247</v>
      </c>
      <c r="F79" s="15" t="s">
        <v>338</v>
      </c>
    </row>
    <row r="80">
      <c r="A80" s="15" t="s">
        <v>339</v>
      </c>
      <c r="B80" s="15" t="s">
        <v>340</v>
      </c>
      <c r="C80" s="15" t="s">
        <v>33</v>
      </c>
      <c r="D80" s="15" t="s">
        <v>23</v>
      </c>
      <c r="E80" s="15" t="s">
        <v>341</v>
      </c>
      <c r="F80" s="15" t="s">
        <v>342</v>
      </c>
    </row>
    <row r="81">
      <c r="A81" s="15" t="s">
        <v>343</v>
      </c>
      <c r="B81" s="15" t="s">
        <v>344</v>
      </c>
      <c r="C81" s="15" t="s">
        <v>22</v>
      </c>
      <c r="D81" s="15" t="s">
        <v>23</v>
      </c>
      <c r="E81" s="15" t="s">
        <v>345</v>
      </c>
      <c r="F81" s="15" t="s">
        <v>346</v>
      </c>
    </row>
    <row r="82">
      <c r="A82" s="15" t="s">
        <v>347</v>
      </c>
      <c r="B82" s="15" t="s">
        <v>348</v>
      </c>
      <c r="C82" s="15" t="s">
        <v>33</v>
      </c>
      <c r="D82" s="15" t="s">
        <v>23</v>
      </c>
      <c r="E82" s="15" t="s">
        <v>349</v>
      </c>
      <c r="F82" s="15" t="s">
        <v>350</v>
      </c>
    </row>
    <row r="83">
      <c r="A83" s="15" t="s">
        <v>351</v>
      </c>
      <c r="B83" s="15" t="s">
        <v>352</v>
      </c>
      <c r="C83" s="15" t="s">
        <v>33</v>
      </c>
      <c r="D83" s="15" t="s">
        <v>23</v>
      </c>
      <c r="E83" s="15" t="s">
        <v>353</v>
      </c>
      <c r="F83" s="15" t="s">
        <v>354</v>
      </c>
    </row>
    <row r="84">
      <c r="A84" s="15" t="s">
        <v>355</v>
      </c>
      <c r="B84" s="15" t="s">
        <v>356</v>
      </c>
      <c r="C84" s="15" t="s">
        <v>33</v>
      </c>
      <c r="D84" s="15" t="s">
        <v>23</v>
      </c>
      <c r="E84" s="15" t="s">
        <v>357</v>
      </c>
      <c r="F84" s="15" t="s">
        <v>358</v>
      </c>
    </row>
    <row r="85">
      <c r="A85" s="15" t="s">
        <v>359</v>
      </c>
      <c r="B85" s="15" t="s">
        <v>360</v>
      </c>
      <c r="C85" s="15" t="s">
        <v>33</v>
      </c>
      <c r="D85" s="15" t="s">
        <v>23</v>
      </c>
      <c r="E85" s="15" t="s">
        <v>361</v>
      </c>
      <c r="F85" s="15" t="s">
        <v>362</v>
      </c>
    </row>
    <row r="86">
      <c r="A86" s="15" t="s">
        <v>363</v>
      </c>
      <c r="B86" s="15" t="s">
        <v>364</v>
      </c>
      <c r="C86" s="15" t="s">
        <v>33</v>
      </c>
      <c r="D86" s="15" t="s">
        <v>23</v>
      </c>
      <c r="E86" s="15" t="s">
        <v>365</v>
      </c>
      <c r="F86" s="15" t="s">
        <v>366</v>
      </c>
    </row>
    <row r="87">
      <c r="A87" s="15" t="s">
        <v>367</v>
      </c>
      <c r="B87" s="15" t="s">
        <v>368</v>
      </c>
      <c r="C87" s="15" t="s">
        <v>22</v>
      </c>
      <c r="D87" s="15" t="s">
        <v>23</v>
      </c>
      <c r="E87" s="15" t="s">
        <v>306</v>
      </c>
      <c r="F87" s="15" t="s">
        <v>369</v>
      </c>
    </row>
    <row r="88">
      <c r="A88" s="15" t="s">
        <v>370</v>
      </c>
      <c r="B88" s="15" t="s">
        <v>371</v>
      </c>
      <c r="C88" s="15" t="s">
        <v>33</v>
      </c>
      <c r="D88" s="15" t="s">
        <v>23</v>
      </c>
      <c r="E88" s="15" t="s">
        <v>372</v>
      </c>
      <c r="F88" s="15" t="s">
        <v>373</v>
      </c>
    </row>
    <row r="89">
      <c r="A89" s="15" t="s">
        <v>374</v>
      </c>
      <c r="B89" s="15" t="s">
        <v>375</v>
      </c>
      <c r="C89" s="15" t="s">
        <v>33</v>
      </c>
      <c r="D89" s="15" t="s">
        <v>23</v>
      </c>
      <c r="E89" s="15" t="s">
        <v>376</v>
      </c>
      <c r="F89" s="15" t="s">
        <v>377</v>
      </c>
    </row>
    <row r="90">
      <c r="A90" s="15" t="s">
        <v>378</v>
      </c>
      <c r="B90" s="15" t="s">
        <v>379</v>
      </c>
      <c r="C90" s="15" t="s">
        <v>33</v>
      </c>
      <c r="D90" s="15" t="s">
        <v>23</v>
      </c>
      <c r="E90" s="15" t="s">
        <v>380</v>
      </c>
      <c r="F90" s="15" t="s">
        <v>381</v>
      </c>
    </row>
    <row r="91">
      <c r="A91" s="15" t="s">
        <v>382</v>
      </c>
      <c r="B91" s="15" t="s">
        <v>383</v>
      </c>
      <c r="C91" s="15" t="s">
        <v>33</v>
      </c>
      <c r="D91" s="15" t="s">
        <v>23</v>
      </c>
      <c r="E91" s="15" t="s">
        <v>384</v>
      </c>
      <c r="F91" s="15" t="s">
        <v>385</v>
      </c>
    </row>
    <row r="92">
      <c r="A92" s="15" t="s">
        <v>386</v>
      </c>
      <c r="B92" s="15" t="s">
        <v>387</v>
      </c>
      <c r="C92" s="15" t="s">
        <v>33</v>
      </c>
      <c r="D92" s="15" t="s">
        <v>23</v>
      </c>
      <c r="E92" s="15" t="s">
        <v>388</v>
      </c>
      <c r="F92" s="15" t="s">
        <v>389</v>
      </c>
    </row>
    <row r="93">
      <c r="A93" s="15" t="s">
        <v>390</v>
      </c>
      <c r="B93" s="15" t="s">
        <v>391</v>
      </c>
      <c r="C93" s="15" t="s">
        <v>33</v>
      </c>
      <c r="D93" s="15" t="s">
        <v>23</v>
      </c>
      <c r="E93" s="15" t="s">
        <v>392</v>
      </c>
      <c r="F93" s="15" t="s">
        <v>393</v>
      </c>
    </row>
    <row r="94">
      <c r="A94" s="15" t="s">
        <v>394</v>
      </c>
      <c r="B94" s="15" t="s">
        <v>395</v>
      </c>
      <c r="C94" s="15" t="s">
        <v>33</v>
      </c>
      <c r="D94" s="15" t="s">
        <v>23</v>
      </c>
      <c r="E94" s="15" t="s">
        <v>396</v>
      </c>
      <c r="F94" s="15" t="s">
        <v>397</v>
      </c>
    </row>
    <row r="95">
      <c r="A95" s="15" t="s">
        <v>13</v>
      </c>
      <c r="B95" s="15" t="s">
        <v>398</v>
      </c>
      <c r="C95" s="15" t="s">
        <v>33</v>
      </c>
      <c r="D95" s="15" t="s">
        <v>23</v>
      </c>
      <c r="E95" s="15" t="s">
        <v>399</v>
      </c>
      <c r="F95" s="15" t="s">
        <v>400</v>
      </c>
    </row>
    <row r="96">
      <c r="A96" s="15" t="s">
        <v>401</v>
      </c>
      <c r="B96" s="15" t="s">
        <v>402</v>
      </c>
      <c r="C96" s="15" t="s">
        <v>33</v>
      </c>
      <c r="D96" s="15" t="s">
        <v>23</v>
      </c>
      <c r="E96" s="15" t="s">
        <v>403</v>
      </c>
      <c r="F96" s="15" t="s">
        <v>404</v>
      </c>
    </row>
    <row r="97">
      <c r="A97" s="15" t="s">
        <v>405</v>
      </c>
      <c r="B97" s="15" t="s">
        <v>406</v>
      </c>
      <c r="C97" s="15" t="s">
        <v>33</v>
      </c>
      <c r="D97" s="15" t="s">
        <v>23</v>
      </c>
      <c r="E97" s="15" t="s">
        <v>407</v>
      </c>
      <c r="F97" s="15" t="s">
        <v>408</v>
      </c>
    </row>
    <row r="98">
      <c r="A98" s="15" t="s">
        <v>409</v>
      </c>
      <c r="B98" s="15" t="s">
        <v>410</v>
      </c>
      <c r="C98" s="15" t="s">
        <v>22</v>
      </c>
      <c r="D98" s="15" t="s">
        <v>23</v>
      </c>
      <c r="E98" s="15" t="s">
        <v>411</v>
      </c>
      <c r="F98" s="15" t="s">
        <v>412</v>
      </c>
    </row>
    <row r="99">
      <c r="A99" s="15" t="s">
        <v>413</v>
      </c>
      <c r="B99" s="15" t="s">
        <v>414</v>
      </c>
      <c r="C99" s="15" t="s">
        <v>33</v>
      </c>
      <c r="D99" s="15" t="s">
        <v>23</v>
      </c>
      <c r="E99" s="15" t="s">
        <v>415</v>
      </c>
      <c r="F99" s="15" t="s">
        <v>416</v>
      </c>
    </row>
    <row r="100">
      <c r="A100" s="15" t="s">
        <v>417</v>
      </c>
      <c r="B100" s="15" t="s">
        <v>418</v>
      </c>
      <c r="C100" s="15" t="s">
        <v>33</v>
      </c>
      <c r="D100" s="15" t="s">
        <v>23</v>
      </c>
      <c r="E100" s="15" t="s">
        <v>419</v>
      </c>
      <c r="F100" s="15" t="s">
        <v>420</v>
      </c>
    </row>
    <row r="101">
      <c r="A101" s="15" t="s">
        <v>421</v>
      </c>
      <c r="B101" s="15" t="s">
        <v>422</v>
      </c>
      <c r="C101" s="15" t="s">
        <v>33</v>
      </c>
      <c r="D101" s="15" t="s">
        <v>23</v>
      </c>
      <c r="E101" s="15" t="s">
        <v>423</v>
      </c>
      <c r="F101" s="15" t="s">
        <v>424</v>
      </c>
    </row>
    <row r="102">
      <c r="A102" s="15" t="s">
        <v>425</v>
      </c>
      <c r="B102" s="15" t="s">
        <v>426</v>
      </c>
      <c r="C102" s="15" t="s">
        <v>33</v>
      </c>
      <c r="D102" s="15" t="s">
        <v>23</v>
      </c>
      <c r="E102" s="15" t="s">
        <v>427</v>
      </c>
      <c r="F102" s="15" t="s">
        <v>428</v>
      </c>
    </row>
    <row r="103">
      <c r="A103" s="15" t="s">
        <v>429</v>
      </c>
      <c r="B103" s="15" t="s">
        <v>430</v>
      </c>
      <c r="C103" s="15" t="s">
        <v>33</v>
      </c>
      <c r="D103" s="15" t="s">
        <v>23</v>
      </c>
      <c r="E103" s="15" t="s">
        <v>431</v>
      </c>
      <c r="F103" s="15" t="s">
        <v>432</v>
      </c>
    </row>
    <row r="104">
      <c r="A104" s="15" t="s">
        <v>433</v>
      </c>
      <c r="B104" s="15" t="s">
        <v>434</v>
      </c>
      <c r="C104" s="15" t="s">
        <v>22</v>
      </c>
      <c r="D104" s="15" t="s">
        <v>23</v>
      </c>
      <c r="E104" s="15" t="s">
        <v>435</v>
      </c>
      <c r="F104" s="15" t="s">
        <v>436</v>
      </c>
    </row>
    <row r="105">
      <c r="A105" s="15" t="s">
        <v>437</v>
      </c>
      <c r="B105" s="15" t="s">
        <v>438</v>
      </c>
      <c r="C105" s="15" t="s">
        <v>28</v>
      </c>
      <c r="D105" s="15" t="s">
        <v>23</v>
      </c>
      <c r="E105" s="15" t="s">
        <v>439</v>
      </c>
      <c r="F105" s="15" t="s">
        <v>440</v>
      </c>
    </row>
    <row r="106">
      <c r="A106" s="15" t="s">
        <v>441</v>
      </c>
      <c r="B106" s="15" t="s">
        <v>442</v>
      </c>
      <c r="C106" s="15" t="s">
        <v>33</v>
      </c>
      <c r="D106" s="15" t="s">
        <v>23</v>
      </c>
      <c r="E106" s="15" t="s">
        <v>443</v>
      </c>
      <c r="F106" s="15" t="s">
        <v>444</v>
      </c>
    </row>
    <row r="107">
      <c r="A107" s="15" t="s">
        <v>445</v>
      </c>
      <c r="B107" s="15" t="s">
        <v>446</v>
      </c>
      <c r="C107" s="15" t="s">
        <v>22</v>
      </c>
      <c r="D107" s="15" t="s">
        <v>23</v>
      </c>
      <c r="E107" s="15" t="s">
        <v>447</v>
      </c>
      <c r="F107" s="15" t="s">
        <v>448</v>
      </c>
    </row>
    <row r="108">
      <c r="A108" s="15" t="s">
        <v>449</v>
      </c>
      <c r="B108" s="15" t="s">
        <v>450</v>
      </c>
      <c r="C108" s="15" t="s">
        <v>33</v>
      </c>
      <c r="D108" s="15" t="s">
        <v>23</v>
      </c>
      <c r="E108" s="15" t="s">
        <v>451</v>
      </c>
      <c r="F108" s="15" t="s">
        <v>452</v>
      </c>
    </row>
    <row r="109">
      <c r="A109" s="15" t="s">
        <v>453</v>
      </c>
      <c r="B109" s="15" t="s">
        <v>454</v>
      </c>
      <c r="C109" s="15" t="s">
        <v>33</v>
      </c>
      <c r="D109" s="15" t="s">
        <v>23</v>
      </c>
      <c r="E109" s="15" t="s">
        <v>455</v>
      </c>
      <c r="F109" s="15" t="s">
        <v>456</v>
      </c>
    </row>
    <row r="110">
      <c r="A110" s="15" t="s">
        <v>457</v>
      </c>
      <c r="B110" s="15" t="s">
        <v>458</v>
      </c>
      <c r="C110" s="15" t="s">
        <v>33</v>
      </c>
      <c r="D110" s="15" t="s">
        <v>23</v>
      </c>
      <c r="E110" s="15" t="s">
        <v>459</v>
      </c>
      <c r="F110" s="15" t="s">
        <v>460</v>
      </c>
    </row>
    <row r="111">
      <c r="A111" s="15" t="s">
        <v>461</v>
      </c>
      <c r="B111" s="15" t="s">
        <v>462</v>
      </c>
      <c r="C111" s="15" t="s">
        <v>33</v>
      </c>
      <c r="D111" s="15" t="s">
        <v>23</v>
      </c>
      <c r="E111" s="15" t="s">
        <v>463</v>
      </c>
      <c r="F111" s="15" t="s">
        <v>464</v>
      </c>
    </row>
    <row r="112">
      <c r="A112" s="15" t="s">
        <v>465</v>
      </c>
      <c r="B112" s="15" t="s">
        <v>466</v>
      </c>
      <c r="C112" s="15" t="s">
        <v>33</v>
      </c>
      <c r="D112" s="15" t="s">
        <v>23</v>
      </c>
      <c r="E112" s="15" t="s">
        <v>467</v>
      </c>
      <c r="F112" s="15" t="s">
        <v>468</v>
      </c>
    </row>
    <row r="113">
      <c r="A113" s="15" t="s">
        <v>469</v>
      </c>
      <c r="B113" s="15" t="s">
        <v>470</v>
      </c>
      <c r="C113" s="15" t="s">
        <v>33</v>
      </c>
      <c r="D113" s="15" t="s">
        <v>23</v>
      </c>
      <c r="E113" s="15" t="s">
        <v>471</v>
      </c>
      <c r="F113" s="15" t="s">
        <v>472</v>
      </c>
    </row>
    <row r="114">
      <c r="A114" s="15" t="s">
        <v>473</v>
      </c>
      <c r="B114" s="15" t="s">
        <v>474</v>
      </c>
      <c r="C114" s="15" t="s">
        <v>475</v>
      </c>
      <c r="D114" s="15" t="s">
        <v>23</v>
      </c>
      <c r="E114" s="15" t="s">
        <v>476</v>
      </c>
      <c r="F114" s="15" t="s">
        <v>477</v>
      </c>
    </row>
    <row r="115">
      <c r="A115" s="15" t="s">
        <v>478</v>
      </c>
      <c r="B115" s="15" t="s">
        <v>479</v>
      </c>
      <c r="C115" s="15" t="s">
        <v>33</v>
      </c>
      <c r="D115" s="15" t="s">
        <v>23</v>
      </c>
      <c r="E115" s="15" t="s">
        <v>480</v>
      </c>
      <c r="F115" s="15" t="s">
        <v>481</v>
      </c>
    </row>
    <row r="116">
      <c r="A116" s="15" t="s">
        <v>482</v>
      </c>
      <c r="B116" s="15" t="s">
        <v>483</v>
      </c>
      <c r="C116" s="15" t="s">
        <v>33</v>
      </c>
      <c r="D116" s="15" t="s">
        <v>23</v>
      </c>
      <c r="E116" s="15" t="s">
        <v>484</v>
      </c>
      <c r="F116" s="15" t="s">
        <v>485</v>
      </c>
    </row>
    <row r="117">
      <c r="A117" s="15" t="s">
        <v>486</v>
      </c>
      <c r="B117" s="15" t="s">
        <v>487</v>
      </c>
      <c r="C117" s="15" t="s">
        <v>22</v>
      </c>
      <c r="D117" s="15" t="s">
        <v>23</v>
      </c>
      <c r="E117" s="15" t="s">
        <v>341</v>
      </c>
      <c r="F117" s="15" t="s">
        <v>488</v>
      </c>
    </row>
    <row r="118">
      <c r="A118" s="15" t="s">
        <v>489</v>
      </c>
      <c r="B118" s="15" t="s">
        <v>490</v>
      </c>
      <c r="C118" s="15" t="s">
        <v>33</v>
      </c>
      <c r="D118" s="15" t="s">
        <v>23</v>
      </c>
      <c r="E118" s="15" t="s">
        <v>491</v>
      </c>
      <c r="F118" s="15" t="s">
        <v>492</v>
      </c>
    </row>
    <row r="119">
      <c r="A119" s="15" t="s">
        <v>493</v>
      </c>
      <c r="B119" s="15" t="s">
        <v>494</v>
      </c>
      <c r="C119" s="15" t="s">
        <v>33</v>
      </c>
      <c r="D119" s="15" t="s">
        <v>23</v>
      </c>
      <c r="E119" s="15" t="s">
        <v>495</v>
      </c>
      <c r="F119" s="15" t="s">
        <v>496</v>
      </c>
    </row>
    <row r="120">
      <c r="A120" s="15" t="s">
        <v>497</v>
      </c>
      <c r="B120" s="15" t="s">
        <v>498</v>
      </c>
      <c r="C120" s="15" t="s">
        <v>33</v>
      </c>
      <c r="D120" s="15" t="s">
        <v>23</v>
      </c>
      <c r="E120" s="15" t="s">
        <v>499</v>
      </c>
      <c r="F120" s="15" t="s">
        <v>500</v>
      </c>
    </row>
    <row r="121">
      <c r="A121" s="15" t="s">
        <v>501</v>
      </c>
      <c r="B121" s="15" t="s">
        <v>502</v>
      </c>
      <c r="C121" s="15" t="s">
        <v>33</v>
      </c>
      <c r="D121" s="15" t="s">
        <v>23</v>
      </c>
      <c r="E121" s="15" t="s">
        <v>503</v>
      </c>
      <c r="F121" s="15" t="s">
        <v>504</v>
      </c>
    </row>
    <row r="122">
      <c r="A122" s="15" t="s">
        <v>505</v>
      </c>
      <c r="B122" s="15" t="s">
        <v>506</v>
      </c>
      <c r="C122" s="15" t="s">
        <v>33</v>
      </c>
      <c r="D122" s="15" t="s">
        <v>23</v>
      </c>
      <c r="E122" s="15" t="s">
        <v>507</v>
      </c>
      <c r="F122" s="15" t="s">
        <v>508</v>
      </c>
    </row>
    <row r="123">
      <c r="A123" s="15" t="s">
        <v>509</v>
      </c>
      <c r="B123" s="15" t="s">
        <v>510</v>
      </c>
      <c r="C123" s="15" t="s">
        <v>28</v>
      </c>
      <c r="D123" s="15" t="s">
        <v>23</v>
      </c>
      <c r="E123" s="15" t="s">
        <v>511</v>
      </c>
      <c r="F123" s="15" t="s">
        <v>512</v>
      </c>
    </row>
    <row r="124">
      <c r="A124" s="15" t="s">
        <v>513</v>
      </c>
      <c r="B124" s="15" t="s">
        <v>514</v>
      </c>
      <c r="C124" s="15" t="s">
        <v>33</v>
      </c>
      <c r="D124" s="15" t="s">
        <v>23</v>
      </c>
      <c r="E124" s="15" t="s">
        <v>515</v>
      </c>
      <c r="F124" s="15" t="s">
        <v>516</v>
      </c>
    </row>
    <row r="125">
      <c r="A125" s="15" t="s">
        <v>517</v>
      </c>
      <c r="B125" s="15" t="s">
        <v>518</v>
      </c>
      <c r="C125" s="15" t="s">
        <v>33</v>
      </c>
      <c r="D125" s="15" t="s">
        <v>23</v>
      </c>
      <c r="E125" s="15" t="s">
        <v>519</v>
      </c>
      <c r="F125" s="15" t="s">
        <v>520</v>
      </c>
    </row>
    <row r="126">
      <c r="A126" s="15" t="s">
        <v>521</v>
      </c>
      <c r="B126" s="15" t="s">
        <v>522</v>
      </c>
      <c r="C126" s="15" t="s">
        <v>33</v>
      </c>
      <c r="D126" s="15" t="s">
        <v>23</v>
      </c>
      <c r="E126" s="15" t="s">
        <v>523</v>
      </c>
      <c r="F126" s="15" t="s">
        <v>524</v>
      </c>
    </row>
    <row r="127">
      <c r="A127" s="15" t="s">
        <v>525</v>
      </c>
      <c r="B127" s="15" t="s">
        <v>526</v>
      </c>
      <c r="C127" s="15" t="s">
        <v>33</v>
      </c>
      <c r="D127" s="15" t="s">
        <v>23</v>
      </c>
      <c r="E127" s="15" t="s">
        <v>527</v>
      </c>
      <c r="F127" s="15" t="s">
        <v>528</v>
      </c>
    </row>
    <row r="128">
      <c r="A128" s="15" t="s">
        <v>529</v>
      </c>
      <c r="B128" s="15" t="s">
        <v>530</v>
      </c>
      <c r="C128" s="15" t="s">
        <v>33</v>
      </c>
      <c r="D128" s="15" t="s">
        <v>23</v>
      </c>
      <c r="E128" s="15" t="s">
        <v>531</v>
      </c>
      <c r="F128" s="15" t="s">
        <v>532</v>
      </c>
    </row>
    <row r="129">
      <c r="A129" s="15" t="s">
        <v>533</v>
      </c>
      <c r="B129" s="15" t="s">
        <v>534</v>
      </c>
      <c r="C129" s="15" t="s">
        <v>22</v>
      </c>
      <c r="D129" s="15" t="s">
        <v>23</v>
      </c>
      <c r="E129" s="15" t="s">
        <v>91</v>
      </c>
      <c r="F129" s="15" t="s">
        <v>535</v>
      </c>
    </row>
    <row r="130">
      <c r="A130" s="15" t="s">
        <v>536</v>
      </c>
      <c r="B130" s="15" t="s">
        <v>537</v>
      </c>
      <c r="C130" s="15" t="s">
        <v>33</v>
      </c>
      <c r="D130" s="15" t="s">
        <v>23</v>
      </c>
      <c r="E130" s="15" t="s">
        <v>538</v>
      </c>
      <c r="F130" s="15" t="s">
        <v>539</v>
      </c>
    </row>
    <row r="131">
      <c r="A131" s="15" t="s">
        <v>540</v>
      </c>
      <c r="B131" s="15" t="s">
        <v>541</v>
      </c>
      <c r="C131" s="15" t="s">
        <v>33</v>
      </c>
      <c r="D131" s="15" t="s">
        <v>23</v>
      </c>
      <c r="E131" s="15" t="s">
        <v>542</v>
      </c>
      <c r="F131" s="15" t="s">
        <v>543</v>
      </c>
    </row>
    <row r="132">
      <c r="A132" s="15" t="s">
        <v>544</v>
      </c>
      <c r="B132" s="15" t="s">
        <v>545</v>
      </c>
      <c r="C132" s="15" t="s">
        <v>33</v>
      </c>
      <c r="D132" s="15" t="s">
        <v>23</v>
      </c>
      <c r="E132" s="15" t="s">
        <v>546</v>
      </c>
      <c r="F132" s="15" t="s">
        <v>547</v>
      </c>
    </row>
    <row r="133">
      <c r="A133" s="15" t="s">
        <v>548</v>
      </c>
      <c r="B133" s="15" t="s">
        <v>549</v>
      </c>
      <c r="C133" s="15" t="s">
        <v>22</v>
      </c>
      <c r="D133" s="15" t="s">
        <v>23</v>
      </c>
      <c r="E133" s="15" t="s">
        <v>143</v>
      </c>
      <c r="F133" s="15" t="s">
        <v>550</v>
      </c>
    </row>
    <row r="134">
      <c r="A134" s="15" t="s">
        <v>551</v>
      </c>
      <c r="B134" s="15" t="s">
        <v>552</v>
      </c>
      <c r="C134" s="15" t="s">
        <v>33</v>
      </c>
      <c r="D134" s="15" t="s">
        <v>23</v>
      </c>
      <c r="E134" s="15" t="s">
        <v>553</v>
      </c>
      <c r="F134" s="15" t="s">
        <v>554</v>
      </c>
    </row>
    <row r="135">
      <c r="A135" s="15" t="s">
        <v>555</v>
      </c>
      <c r="B135" s="15" t="s">
        <v>556</v>
      </c>
      <c r="C135" s="15" t="s">
        <v>33</v>
      </c>
      <c r="D135" s="15" t="s">
        <v>23</v>
      </c>
      <c r="E135" s="15" t="s">
        <v>557</v>
      </c>
      <c r="F135" s="15" t="s">
        <v>558</v>
      </c>
    </row>
    <row r="136">
      <c r="A136" s="15" t="s">
        <v>559</v>
      </c>
      <c r="B136" s="15" t="s">
        <v>560</v>
      </c>
      <c r="C136" s="15" t="s">
        <v>33</v>
      </c>
      <c r="D136" s="15" t="s">
        <v>23</v>
      </c>
      <c r="E136" s="15" t="s">
        <v>561</v>
      </c>
      <c r="F136" s="15" t="s">
        <v>562</v>
      </c>
    </row>
    <row r="137">
      <c r="A137" s="15" t="s">
        <v>563</v>
      </c>
      <c r="B137" s="15" t="s">
        <v>564</v>
      </c>
      <c r="C137" s="15" t="s">
        <v>33</v>
      </c>
      <c r="D137" s="15" t="s">
        <v>23</v>
      </c>
      <c r="E137" s="15" t="s">
        <v>565</v>
      </c>
      <c r="F137" s="15" t="s">
        <v>566</v>
      </c>
    </row>
    <row r="138">
      <c r="A138" s="15" t="s">
        <v>567</v>
      </c>
      <c r="B138" s="15" t="s">
        <v>568</v>
      </c>
      <c r="C138" s="15" t="s">
        <v>33</v>
      </c>
      <c r="D138" s="15" t="s">
        <v>23</v>
      </c>
      <c r="E138" s="15" t="s">
        <v>569</v>
      </c>
      <c r="F138" s="15" t="s">
        <v>570</v>
      </c>
    </row>
    <row r="139">
      <c r="A139" s="15" t="s">
        <v>571</v>
      </c>
      <c r="B139" s="15" t="s">
        <v>572</v>
      </c>
      <c r="C139" s="15" t="s">
        <v>33</v>
      </c>
      <c r="D139" s="15" t="s">
        <v>23</v>
      </c>
      <c r="E139" s="15" t="s">
        <v>573</v>
      </c>
      <c r="F139" s="15" t="s">
        <v>574</v>
      </c>
    </row>
    <row r="140">
      <c r="A140" s="15" t="s">
        <v>575</v>
      </c>
      <c r="B140" s="15" t="s">
        <v>576</v>
      </c>
      <c r="C140" s="15" t="s">
        <v>33</v>
      </c>
      <c r="D140" s="15" t="s">
        <v>23</v>
      </c>
      <c r="E140" s="15" t="s">
        <v>577</v>
      </c>
      <c r="F140" s="15" t="s">
        <v>578</v>
      </c>
    </row>
    <row r="141">
      <c r="A141" s="15" t="s">
        <v>579</v>
      </c>
      <c r="B141" s="15" t="s">
        <v>580</v>
      </c>
      <c r="C141" s="15" t="s">
        <v>33</v>
      </c>
      <c r="D141" s="15" t="s">
        <v>23</v>
      </c>
      <c r="E141" s="15" t="s">
        <v>581</v>
      </c>
      <c r="F141" s="15" t="s">
        <v>582</v>
      </c>
    </row>
    <row r="142">
      <c r="A142" s="15" t="s">
        <v>583</v>
      </c>
      <c r="B142" s="15" t="s">
        <v>584</v>
      </c>
      <c r="C142" s="15" t="s">
        <v>33</v>
      </c>
      <c r="D142" s="15" t="s">
        <v>23</v>
      </c>
      <c r="E142" s="15" t="s">
        <v>585</v>
      </c>
      <c r="F142" s="15" t="s">
        <v>586</v>
      </c>
    </row>
    <row r="143">
      <c r="A143" s="15" t="s">
        <v>587</v>
      </c>
      <c r="B143" s="15" t="s">
        <v>588</v>
      </c>
      <c r="C143" s="15" t="s">
        <v>33</v>
      </c>
      <c r="D143" s="15" t="s">
        <v>23</v>
      </c>
      <c r="E143" s="15" t="s">
        <v>589</v>
      </c>
      <c r="F143" s="15" t="s">
        <v>590</v>
      </c>
    </row>
    <row r="144">
      <c r="A144" s="15" t="s">
        <v>591</v>
      </c>
      <c r="B144" s="15" t="s">
        <v>592</v>
      </c>
      <c r="C144" s="15" t="s">
        <v>33</v>
      </c>
      <c r="D144" s="15" t="s">
        <v>23</v>
      </c>
      <c r="E144" s="15" t="s">
        <v>593</v>
      </c>
      <c r="F144" s="15" t="s">
        <v>594</v>
      </c>
    </row>
    <row r="145">
      <c r="A145" s="15" t="s">
        <v>595</v>
      </c>
      <c r="B145" s="15" t="s">
        <v>596</v>
      </c>
      <c r="C145" s="15" t="s">
        <v>33</v>
      </c>
      <c r="D145" s="15" t="s">
        <v>23</v>
      </c>
      <c r="E145" s="15" t="s">
        <v>597</v>
      </c>
      <c r="F145" s="15" t="s">
        <v>598</v>
      </c>
    </row>
    <row r="146">
      <c r="A146" s="15" t="s">
        <v>599</v>
      </c>
      <c r="B146" s="15" t="s">
        <v>600</v>
      </c>
      <c r="C146" s="15" t="s">
        <v>33</v>
      </c>
      <c r="D146" s="15" t="s">
        <v>23</v>
      </c>
      <c r="E146" s="15" t="s">
        <v>601</v>
      </c>
      <c r="F146" s="15" t="s">
        <v>602</v>
      </c>
    </row>
    <row r="147">
      <c r="A147" s="15" t="s">
        <v>603</v>
      </c>
      <c r="B147" s="15" t="s">
        <v>604</v>
      </c>
      <c r="C147" s="15" t="s">
        <v>33</v>
      </c>
      <c r="D147" s="15" t="s">
        <v>23</v>
      </c>
      <c r="E147" s="15" t="s">
        <v>605</v>
      </c>
      <c r="F147" s="15" t="s">
        <v>606</v>
      </c>
    </row>
    <row r="148">
      <c r="A148" s="15" t="s">
        <v>607</v>
      </c>
      <c r="B148" s="15" t="s">
        <v>608</v>
      </c>
      <c r="C148" s="15" t="s">
        <v>609</v>
      </c>
      <c r="D148" s="15" t="s">
        <v>610</v>
      </c>
      <c r="E148" s="15" t="s">
        <v>611</v>
      </c>
      <c r="F148" s="15" t="s">
        <v>612</v>
      </c>
    </row>
    <row r="149">
      <c r="A149" s="15" t="s">
        <v>613</v>
      </c>
      <c r="B149" s="15" t="s">
        <v>614</v>
      </c>
      <c r="C149" s="15" t="s">
        <v>609</v>
      </c>
      <c r="D149" s="15" t="s">
        <v>610</v>
      </c>
      <c r="E149" s="15" t="s">
        <v>611</v>
      </c>
      <c r="F149" s="15" t="s">
        <v>615</v>
      </c>
    </row>
    <row r="150">
      <c r="A150" s="15" t="s">
        <v>616</v>
      </c>
      <c r="B150" s="15" t="s">
        <v>617</v>
      </c>
      <c r="C150" s="15" t="s">
        <v>609</v>
      </c>
      <c r="D150" s="15" t="s">
        <v>610</v>
      </c>
      <c r="E150" s="15" t="s">
        <v>611</v>
      </c>
      <c r="F150" s="15" t="s">
        <v>618</v>
      </c>
    </row>
    <row r="151">
      <c r="A151" s="15" t="s">
        <v>619</v>
      </c>
      <c r="B151" s="15" t="s">
        <v>620</v>
      </c>
      <c r="C151" s="15" t="s">
        <v>621</v>
      </c>
      <c r="D151" s="15" t="s">
        <v>610</v>
      </c>
      <c r="E151" s="15" t="s">
        <v>611</v>
      </c>
      <c r="F151" s="15" t="s">
        <v>622</v>
      </c>
    </row>
    <row r="152">
      <c r="A152" s="15" t="s">
        <v>623</v>
      </c>
      <c r="B152" s="15" t="s">
        <v>624</v>
      </c>
      <c r="C152" s="15" t="s">
        <v>609</v>
      </c>
      <c r="D152" s="15" t="s">
        <v>610</v>
      </c>
      <c r="E152" s="15" t="s">
        <v>611</v>
      </c>
      <c r="F152" s="15" t="s">
        <v>625</v>
      </c>
    </row>
    <row r="153">
      <c r="A153" s="15" t="s">
        <v>626</v>
      </c>
      <c r="B153" s="15" t="s">
        <v>627</v>
      </c>
      <c r="C153" s="15" t="s">
        <v>609</v>
      </c>
      <c r="D153" s="15" t="s">
        <v>610</v>
      </c>
      <c r="E153" s="15" t="s">
        <v>611</v>
      </c>
      <c r="F153" s="15" t="s">
        <v>628</v>
      </c>
    </row>
    <row r="154">
      <c r="A154" s="15" t="s">
        <v>629</v>
      </c>
      <c r="B154" s="15" t="s">
        <v>630</v>
      </c>
      <c r="C154" s="15" t="s">
        <v>609</v>
      </c>
      <c r="D154" s="15" t="s">
        <v>610</v>
      </c>
      <c r="E154" s="15" t="s">
        <v>611</v>
      </c>
      <c r="F154" s="15" t="s">
        <v>631</v>
      </c>
    </row>
    <row r="155">
      <c r="A155" s="15" t="s">
        <v>632</v>
      </c>
      <c r="B155" s="15" t="s">
        <v>633</v>
      </c>
      <c r="C155" s="15" t="s">
        <v>609</v>
      </c>
      <c r="D155" s="15" t="s">
        <v>610</v>
      </c>
      <c r="E155" s="15" t="s">
        <v>611</v>
      </c>
      <c r="F155" s="15" t="s">
        <v>634</v>
      </c>
    </row>
    <row r="156">
      <c r="A156" s="15" t="s">
        <v>635</v>
      </c>
      <c r="B156" s="15" t="s">
        <v>636</v>
      </c>
      <c r="C156" s="15" t="s">
        <v>609</v>
      </c>
      <c r="D156" s="15" t="s">
        <v>610</v>
      </c>
      <c r="E156" s="15" t="s">
        <v>611</v>
      </c>
      <c r="F156" s="15" t="s">
        <v>637</v>
      </c>
    </row>
    <row r="157">
      <c r="A157" s="15" t="s">
        <v>638</v>
      </c>
      <c r="B157" s="15" t="s">
        <v>639</v>
      </c>
      <c r="C157" s="15" t="s">
        <v>609</v>
      </c>
      <c r="D157" s="15" t="s">
        <v>610</v>
      </c>
      <c r="E157" s="15" t="s">
        <v>611</v>
      </c>
      <c r="F157" s="15" t="s">
        <v>640</v>
      </c>
    </row>
    <row r="158">
      <c r="A158" s="15" t="s">
        <v>641</v>
      </c>
      <c r="B158" s="15" t="s">
        <v>642</v>
      </c>
      <c r="C158" s="15" t="s">
        <v>609</v>
      </c>
      <c r="D158" s="15" t="s">
        <v>610</v>
      </c>
      <c r="E158" s="15" t="s">
        <v>611</v>
      </c>
      <c r="F158" s="15" t="s">
        <v>643</v>
      </c>
    </row>
    <row r="159">
      <c r="A159" s="15" t="s">
        <v>644</v>
      </c>
      <c r="B159" s="15" t="s">
        <v>645</v>
      </c>
      <c r="C159" s="15" t="s">
        <v>609</v>
      </c>
      <c r="D159" s="15" t="s">
        <v>610</v>
      </c>
      <c r="E159" s="15" t="s">
        <v>611</v>
      </c>
      <c r="F159" s="15" t="s">
        <v>646</v>
      </c>
    </row>
    <row r="160">
      <c r="A160" s="15" t="s">
        <v>647</v>
      </c>
      <c r="B160" s="15" t="s">
        <v>648</v>
      </c>
      <c r="C160" s="15" t="s">
        <v>609</v>
      </c>
      <c r="D160" s="15" t="s">
        <v>610</v>
      </c>
      <c r="E160" s="15" t="s">
        <v>611</v>
      </c>
      <c r="F160" s="15" t="s">
        <v>649</v>
      </c>
    </row>
    <row r="161">
      <c r="A161" s="15" t="s">
        <v>650</v>
      </c>
      <c r="B161" s="15" t="s">
        <v>651</v>
      </c>
      <c r="C161" s="15" t="s">
        <v>609</v>
      </c>
      <c r="D161" s="15" t="s">
        <v>610</v>
      </c>
      <c r="E161" s="15" t="s">
        <v>611</v>
      </c>
      <c r="F161" s="15" t="s">
        <v>652</v>
      </c>
    </row>
    <row r="162">
      <c r="A162" s="15" t="s">
        <v>653</v>
      </c>
      <c r="B162" s="15" t="s">
        <v>654</v>
      </c>
      <c r="C162" s="15" t="s">
        <v>609</v>
      </c>
      <c r="D162" s="15" t="s">
        <v>610</v>
      </c>
      <c r="E162" s="15" t="s">
        <v>611</v>
      </c>
      <c r="F162" s="15" t="s">
        <v>655</v>
      </c>
    </row>
    <row r="163">
      <c r="A163" s="15" t="s">
        <v>656</v>
      </c>
      <c r="B163" s="15" t="s">
        <v>657</v>
      </c>
      <c r="C163" s="15" t="s">
        <v>609</v>
      </c>
      <c r="D163" s="15" t="s">
        <v>610</v>
      </c>
      <c r="E163" s="15" t="s">
        <v>611</v>
      </c>
      <c r="F163" s="15" t="s">
        <v>658</v>
      </c>
    </row>
    <row r="164">
      <c r="A164" s="15" t="s">
        <v>659</v>
      </c>
      <c r="B164" s="15" t="s">
        <v>660</v>
      </c>
      <c r="C164" s="15" t="s">
        <v>609</v>
      </c>
      <c r="D164" s="15" t="s">
        <v>610</v>
      </c>
      <c r="E164" s="15" t="s">
        <v>611</v>
      </c>
      <c r="F164" s="15" t="s">
        <v>661</v>
      </c>
    </row>
    <row r="165">
      <c r="A165" s="15" t="s">
        <v>662</v>
      </c>
      <c r="B165" s="15" t="s">
        <v>663</v>
      </c>
      <c r="C165" s="15" t="s">
        <v>609</v>
      </c>
      <c r="D165" s="15" t="s">
        <v>610</v>
      </c>
      <c r="E165" s="15" t="s">
        <v>611</v>
      </c>
      <c r="F165" s="15" t="s">
        <v>664</v>
      </c>
    </row>
    <row r="166">
      <c r="A166" s="15" t="s">
        <v>665</v>
      </c>
      <c r="B166" s="15" t="s">
        <v>666</v>
      </c>
      <c r="C166" s="15" t="s">
        <v>609</v>
      </c>
      <c r="D166" s="15" t="s">
        <v>610</v>
      </c>
      <c r="E166" s="15" t="s">
        <v>611</v>
      </c>
      <c r="F166" s="15" t="s">
        <v>667</v>
      </c>
    </row>
    <row r="167">
      <c r="A167" s="15" t="s">
        <v>668</v>
      </c>
      <c r="B167" s="15" t="s">
        <v>669</v>
      </c>
      <c r="C167" s="15" t="s">
        <v>609</v>
      </c>
      <c r="D167" s="15" t="s">
        <v>610</v>
      </c>
      <c r="E167" s="15" t="s">
        <v>611</v>
      </c>
      <c r="F167" s="15" t="s">
        <v>670</v>
      </c>
    </row>
    <row r="168">
      <c r="A168" s="15" t="s">
        <v>671</v>
      </c>
      <c r="B168" s="15" t="s">
        <v>672</v>
      </c>
      <c r="C168" s="15" t="s">
        <v>609</v>
      </c>
      <c r="D168" s="15" t="s">
        <v>610</v>
      </c>
      <c r="E168" s="15" t="s">
        <v>611</v>
      </c>
      <c r="F168" s="15" t="s">
        <v>673</v>
      </c>
    </row>
    <row r="169">
      <c r="A169" s="15" t="s">
        <v>674</v>
      </c>
      <c r="B169" s="15" t="s">
        <v>675</v>
      </c>
      <c r="C169" s="15" t="s">
        <v>609</v>
      </c>
      <c r="D169" s="15" t="s">
        <v>610</v>
      </c>
      <c r="E169" s="15" t="s">
        <v>611</v>
      </c>
      <c r="F169" s="15" t="s">
        <v>676</v>
      </c>
    </row>
    <row r="170">
      <c r="A170" s="15" t="s">
        <v>677</v>
      </c>
      <c r="B170" s="15" t="s">
        <v>678</v>
      </c>
      <c r="C170" s="15" t="s">
        <v>609</v>
      </c>
      <c r="D170" s="15" t="s">
        <v>610</v>
      </c>
      <c r="E170" s="15" t="s">
        <v>611</v>
      </c>
      <c r="F170" s="15" t="s">
        <v>679</v>
      </c>
    </row>
    <row r="171">
      <c r="A171" s="15" t="s">
        <v>680</v>
      </c>
      <c r="B171" s="15" t="s">
        <v>681</v>
      </c>
      <c r="C171" s="15" t="s">
        <v>609</v>
      </c>
      <c r="D171" s="15" t="s">
        <v>610</v>
      </c>
      <c r="E171" s="15" t="s">
        <v>611</v>
      </c>
      <c r="F171" s="15" t="s">
        <v>682</v>
      </c>
    </row>
    <row r="172">
      <c r="A172" s="15" t="s">
        <v>683</v>
      </c>
      <c r="B172" s="15" t="s">
        <v>684</v>
      </c>
      <c r="C172" s="15" t="s">
        <v>609</v>
      </c>
      <c r="D172" s="15" t="s">
        <v>610</v>
      </c>
      <c r="E172" s="15" t="s">
        <v>611</v>
      </c>
      <c r="F172" s="15" t="s">
        <v>685</v>
      </c>
    </row>
    <row r="173">
      <c r="A173" s="15" t="s">
        <v>686</v>
      </c>
      <c r="B173" s="15" t="s">
        <v>687</v>
      </c>
      <c r="C173" s="15" t="s">
        <v>609</v>
      </c>
      <c r="D173" s="15" t="s">
        <v>610</v>
      </c>
      <c r="E173" s="15" t="s">
        <v>611</v>
      </c>
      <c r="F173" s="15" t="s">
        <v>688</v>
      </c>
    </row>
    <row r="174">
      <c r="A174" s="15" t="s">
        <v>689</v>
      </c>
      <c r="B174" s="15" t="s">
        <v>690</v>
      </c>
      <c r="C174" s="15" t="s">
        <v>609</v>
      </c>
      <c r="D174" s="15" t="s">
        <v>610</v>
      </c>
      <c r="E174" s="15" t="s">
        <v>611</v>
      </c>
      <c r="F174" s="15" t="s">
        <v>691</v>
      </c>
    </row>
    <row r="175">
      <c r="A175" s="15" t="s">
        <v>692</v>
      </c>
      <c r="B175" s="15" t="s">
        <v>693</v>
      </c>
      <c r="C175" s="15" t="s">
        <v>609</v>
      </c>
      <c r="D175" s="15" t="s">
        <v>610</v>
      </c>
      <c r="E175" s="15" t="s">
        <v>611</v>
      </c>
      <c r="F175" s="15" t="s">
        <v>694</v>
      </c>
    </row>
    <row r="176">
      <c r="A176" s="15" t="s">
        <v>695</v>
      </c>
      <c r="B176" s="15" t="s">
        <v>696</v>
      </c>
      <c r="C176" s="15" t="s">
        <v>609</v>
      </c>
      <c r="D176" s="15" t="s">
        <v>610</v>
      </c>
      <c r="E176" s="15" t="s">
        <v>611</v>
      </c>
      <c r="F176" s="15" t="s">
        <v>697</v>
      </c>
    </row>
    <row r="177">
      <c r="A177" s="15" t="s">
        <v>698</v>
      </c>
      <c r="B177" s="15" t="s">
        <v>699</v>
      </c>
      <c r="C177" s="15" t="s">
        <v>609</v>
      </c>
      <c r="D177" s="15" t="s">
        <v>610</v>
      </c>
      <c r="E177" s="15" t="s">
        <v>611</v>
      </c>
      <c r="F177" s="15" t="s">
        <v>700</v>
      </c>
    </row>
    <row r="178">
      <c r="A178" s="15" t="s">
        <v>701</v>
      </c>
      <c r="B178" s="15" t="s">
        <v>702</v>
      </c>
      <c r="C178" s="15" t="s">
        <v>703</v>
      </c>
      <c r="D178" s="15" t="s">
        <v>610</v>
      </c>
      <c r="E178" s="15" t="s">
        <v>704</v>
      </c>
      <c r="F178" s="15" t="s">
        <v>705</v>
      </c>
    </row>
    <row r="179">
      <c r="A179" s="15" t="s">
        <v>706</v>
      </c>
      <c r="B179" s="15" t="s">
        <v>707</v>
      </c>
      <c r="C179" s="15" t="s">
        <v>609</v>
      </c>
      <c r="D179" s="15" t="s">
        <v>610</v>
      </c>
      <c r="E179" s="15" t="s">
        <v>611</v>
      </c>
      <c r="F179" s="15" t="s">
        <v>708</v>
      </c>
    </row>
    <row r="180">
      <c r="A180" s="15" t="s">
        <v>709</v>
      </c>
      <c r="B180" s="15" t="s">
        <v>710</v>
      </c>
      <c r="C180" s="15" t="s">
        <v>609</v>
      </c>
      <c r="D180" s="15" t="s">
        <v>610</v>
      </c>
      <c r="E180" s="15" t="s">
        <v>611</v>
      </c>
      <c r="F180" s="15" t="s">
        <v>711</v>
      </c>
    </row>
    <row r="181">
      <c r="A181" s="15" t="s">
        <v>712</v>
      </c>
      <c r="B181" s="15" t="s">
        <v>713</v>
      </c>
      <c r="C181" s="15" t="s">
        <v>609</v>
      </c>
      <c r="D181" s="15" t="s">
        <v>610</v>
      </c>
      <c r="E181" s="15" t="s">
        <v>611</v>
      </c>
      <c r="F181" s="15" t="s">
        <v>714</v>
      </c>
    </row>
    <row r="182">
      <c r="A182" s="15" t="s">
        <v>715</v>
      </c>
      <c r="B182" s="15" t="s">
        <v>716</v>
      </c>
      <c r="C182" s="15" t="s">
        <v>609</v>
      </c>
      <c r="D182" s="15" t="s">
        <v>610</v>
      </c>
      <c r="E182" s="15" t="s">
        <v>611</v>
      </c>
      <c r="F182" s="15" t="s">
        <v>717</v>
      </c>
    </row>
    <row r="183">
      <c r="A183" s="15" t="s">
        <v>718</v>
      </c>
      <c r="B183" s="15" t="s">
        <v>719</v>
      </c>
      <c r="C183" s="15" t="s">
        <v>609</v>
      </c>
      <c r="D183" s="15" t="s">
        <v>610</v>
      </c>
      <c r="E183" s="15" t="s">
        <v>611</v>
      </c>
      <c r="F183" s="15" t="s">
        <v>720</v>
      </c>
    </row>
    <row r="184">
      <c r="A184" s="15" t="s">
        <v>721</v>
      </c>
      <c r="B184" s="15" t="s">
        <v>722</v>
      </c>
      <c r="C184" s="15" t="s">
        <v>609</v>
      </c>
      <c r="D184" s="15" t="s">
        <v>610</v>
      </c>
      <c r="E184" s="15" t="s">
        <v>611</v>
      </c>
      <c r="F184" s="15" t="s">
        <v>723</v>
      </c>
    </row>
    <row r="185">
      <c r="A185" s="15" t="s">
        <v>724</v>
      </c>
      <c r="B185" s="15" t="s">
        <v>725</v>
      </c>
      <c r="C185" s="15" t="s">
        <v>609</v>
      </c>
      <c r="D185" s="15" t="s">
        <v>610</v>
      </c>
      <c r="E185" s="15" t="s">
        <v>611</v>
      </c>
      <c r="F185" s="15" t="s">
        <v>726</v>
      </c>
    </row>
    <row r="186">
      <c r="A186" s="15" t="s">
        <v>727</v>
      </c>
      <c r="B186" s="15" t="s">
        <v>728</v>
      </c>
      <c r="C186" s="15" t="s">
        <v>609</v>
      </c>
      <c r="D186" s="15" t="s">
        <v>610</v>
      </c>
      <c r="E186" s="15" t="s">
        <v>611</v>
      </c>
      <c r="F186" s="15" t="s">
        <v>729</v>
      </c>
    </row>
    <row r="187">
      <c r="A187" s="15" t="s">
        <v>730</v>
      </c>
      <c r="B187" s="15" t="s">
        <v>731</v>
      </c>
      <c r="C187" s="15" t="s">
        <v>609</v>
      </c>
      <c r="D187" s="15" t="s">
        <v>610</v>
      </c>
      <c r="E187" s="15" t="s">
        <v>611</v>
      </c>
      <c r="F187" s="15" t="s">
        <v>732</v>
      </c>
    </row>
    <row r="188">
      <c r="A188" s="15" t="s">
        <v>733</v>
      </c>
      <c r="B188" s="15" t="s">
        <v>734</v>
      </c>
      <c r="C188" s="15" t="s">
        <v>609</v>
      </c>
      <c r="D188" s="15" t="s">
        <v>610</v>
      </c>
      <c r="E188" s="15" t="s">
        <v>611</v>
      </c>
      <c r="F188" s="15" t="s">
        <v>735</v>
      </c>
    </row>
    <row r="189">
      <c r="A189" s="15" t="s">
        <v>736</v>
      </c>
      <c r="B189" s="15" t="s">
        <v>737</v>
      </c>
      <c r="C189" s="15" t="s">
        <v>609</v>
      </c>
      <c r="D189" s="15" t="s">
        <v>610</v>
      </c>
      <c r="E189" s="15" t="s">
        <v>611</v>
      </c>
      <c r="F189" s="15" t="s">
        <v>738</v>
      </c>
    </row>
    <row r="190">
      <c r="A190" s="15" t="s">
        <v>739</v>
      </c>
      <c r="B190" s="15" t="s">
        <v>740</v>
      </c>
      <c r="C190" s="15" t="s">
        <v>609</v>
      </c>
      <c r="D190" s="15" t="s">
        <v>610</v>
      </c>
      <c r="E190" s="15" t="s">
        <v>611</v>
      </c>
      <c r="F190" s="15" t="s">
        <v>741</v>
      </c>
    </row>
    <row r="191">
      <c r="A191" s="15" t="s">
        <v>742</v>
      </c>
      <c r="B191" s="15" t="s">
        <v>743</v>
      </c>
      <c r="C191" s="15" t="s">
        <v>609</v>
      </c>
      <c r="D191" s="15" t="s">
        <v>610</v>
      </c>
      <c r="E191" s="15" t="s">
        <v>611</v>
      </c>
      <c r="F191" s="15" t="s">
        <v>744</v>
      </c>
    </row>
    <row r="192">
      <c r="A192" s="15" t="s">
        <v>745</v>
      </c>
      <c r="B192" s="15" t="s">
        <v>746</v>
      </c>
      <c r="C192" s="15" t="s">
        <v>609</v>
      </c>
      <c r="D192" s="15" t="s">
        <v>610</v>
      </c>
      <c r="E192" s="15" t="s">
        <v>611</v>
      </c>
      <c r="F192" s="15" t="s">
        <v>747</v>
      </c>
    </row>
    <row r="193">
      <c r="A193" s="15" t="s">
        <v>748</v>
      </c>
      <c r="B193" s="15" t="s">
        <v>749</v>
      </c>
      <c r="C193" s="15" t="s">
        <v>609</v>
      </c>
      <c r="D193" s="15" t="s">
        <v>610</v>
      </c>
      <c r="E193" s="15" t="s">
        <v>611</v>
      </c>
      <c r="F193" s="15" t="s">
        <v>750</v>
      </c>
    </row>
    <row r="194">
      <c r="A194" s="15" t="s">
        <v>751</v>
      </c>
      <c r="B194" s="15" t="s">
        <v>752</v>
      </c>
      <c r="C194" s="15" t="s">
        <v>609</v>
      </c>
      <c r="D194" s="15" t="s">
        <v>610</v>
      </c>
      <c r="E194" s="15" t="s">
        <v>611</v>
      </c>
      <c r="F194" s="15" t="s">
        <v>753</v>
      </c>
    </row>
    <row r="195">
      <c r="A195" s="15" t="s">
        <v>754</v>
      </c>
      <c r="B195" s="15" t="s">
        <v>755</v>
      </c>
      <c r="C195" s="15" t="s">
        <v>609</v>
      </c>
      <c r="D195" s="15" t="s">
        <v>610</v>
      </c>
      <c r="E195" s="15" t="s">
        <v>611</v>
      </c>
      <c r="F195" s="15" t="s">
        <v>756</v>
      </c>
    </row>
    <row r="196">
      <c r="A196" s="15" t="s">
        <v>757</v>
      </c>
      <c r="B196" s="15" t="s">
        <v>758</v>
      </c>
      <c r="C196" s="15" t="s">
        <v>609</v>
      </c>
      <c r="D196" s="15" t="s">
        <v>610</v>
      </c>
      <c r="E196" s="15" t="s">
        <v>611</v>
      </c>
      <c r="F196" s="15" t="s">
        <v>759</v>
      </c>
    </row>
    <row r="197">
      <c r="A197" s="15" t="s">
        <v>760</v>
      </c>
      <c r="B197" s="15" t="s">
        <v>761</v>
      </c>
      <c r="C197" s="15" t="s">
        <v>609</v>
      </c>
      <c r="D197" s="15" t="s">
        <v>610</v>
      </c>
      <c r="E197" s="15" t="s">
        <v>611</v>
      </c>
      <c r="F197" s="15" t="s">
        <v>762</v>
      </c>
    </row>
    <row r="198">
      <c r="A198" s="15" t="s">
        <v>763</v>
      </c>
      <c r="B198" s="15" t="s">
        <v>764</v>
      </c>
      <c r="C198" s="15" t="s">
        <v>609</v>
      </c>
      <c r="D198" s="15" t="s">
        <v>610</v>
      </c>
      <c r="E198" s="15" t="s">
        <v>611</v>
      </c>
      <c r="F198" s="15" t="s">
        <v>765</v>
      </c>
    </row>
    <row r="199">
      <c r="A199" s="15" t="s">
        <v>766</v>
      </c>
      <c r="B199" s="15" t="s">
        <v>767</v>
      </c>
      <c r="C199" s="15" t="s">
        <v>609</v>
      </c>
      <c r="D199" s="15" t="s">
        <v>610</v>
      </c>
      <c r="E199" s="15" t="s">
        <v>611</v>
      </c>
      <c r="F199" s="15" t="s">
        <v>768</v>
      </c>
    </row>
    <row r="200">
      <c r="A200" s="15" t="s">
        <v>769</v>
      </c>
      <c r="B200" s="15" t="s">
        <v>770</v>
      </c>
      <c r="C200" s="15" t="s">
        <v>609</v>
      </c>
      <c r="D200" s="15" t="s">
        <v>610</v>
      </c>
      <c r="E200" s="15" t="s">
        <v>611</v>
      </c>
      <c r="F200" s="15" t="s">
        <v>771</v>
      </c>
    </row>
    <row r="201">
      <c r="A201" s="15" t="s">
        <v>772</v>
      </c>
      <c r="B201" s="15" t="s">
        <v>773</v>
      </c>
      <c r="C201" s="15" t="s">
        <v>609</v>
      </c>
      <c r="D201" s="15" t="s">
        <v>610</v>
      </c>
      <c r="E201" s="15" t="s">
        <v>611</v>
      </c>
      <c r="F201" s="15" t="s">
        <v>774</v>
      </c>
    </row>
    <row r="202">
      <c r="A202" s="15" t="s">
        <v>775</v>
      </c>
      <c r="B202" s="15" t="s">
        <v>776</v>
      </c>
      <c r="C202" s="15" t="s">
        <v>609</v>
      </c>
      <c r="D202" s="15" t="s">
        <v>610</v>
      </c>
      <c r="E202" s="15" t="s">
        <v>611</v>
      </c>
      <c r="F202" s="15" t="s">
        <v>777</v>
      </c>
    </row>
    <row r="203">
      <c r="A203" s="15" t="s">
        <v>778</v>
      </c>
      <c r="B203" s="15" t="s">
        <v>779</v>
      </c>
      <c r="C203" s="15" t="s">
        <v>609</v>
      </c>
      <c r="D203" s="15" t="s">
        <v>610</v>
      </c>
      <c r="E203" s="15" t="s">
        <v>611</v>
      </c>
      <c r="F203" s="15" t="s">
        <v>780</v>
      </c>
    </row>
    <row r="204">
      <c r="A204" s="15" t="s">
        <v>781</v>
      </c>
      <c r="B204" s="15" t="s">
        <v>782</v>
      </c>
      <c r="C204" s="15" t="s">
        <v>609</v>
      </c>
      <c r="D204" s="15" t="s">
        <v>610</v>
      </c>
      <c r="E204" s="15" t="s">
        <v>611</v>
      </c>
      <c r="F204" s="15" t="s">
        <v>783</v>
      </c>
    </row>
    <row r="205">
      <c r="A205" s="15" t="s">
        <v>784</v>
      </c>
      <c r="B205" s="15" t="s">
        <v>785</v>
      </c>
      <c r="C205" s="15" t="s">
        <v>609</v>
      </c>
      <c r="D205" s="15" t="s">
        <v>610</v>
      </c>
      <c r="E205" s="15" t="s">
        <v>611</v>
      </c>
      <c r="F205" s="15" t="s">
        <v>786</v>
      </c>
    </row>
    <row r="206">
      <c r="A206" s="15" t="s">
        <v>787</v>
      </c>
      <c r="B206" s="15" t="s">
        <v>788</v>
      </c>
      <c r="C206" s="15" t="s">
        <v>609</v>
      </c>
      <c r="D206" s="15" t="s">
        <v>610</v>
      </c>
      <c r="E206" s="15" t="s">
        <v>611</v>
      </c>
      <c r="F206" s="15" t="s">
        <v>789</v>
      </c>
    </row>
    <row r="207">
      <c r="A207" s="15" t="s">
        <v>790</v>
      </c>
      <c r="B207" s="15" t="s">
        <v>791</v>
      </c>
      <c r="C207" s="15" t="s">
        <v>609</v>
      </c>
      <c r="D207" s="15" t="s">
        <v>610</v>
      </c>
      <c r="E207" s="15" t="s">
        <v>611</v>
      </c>
      <c r="F207" s="15" t="s">
        <v>792</v>
      </c>
    </row>
    <row r="208">
      <c r="A208" s="15" t="s">
        <v>793</v>
      </c>
      <c r="B208" s="15" t="s">
        <v>794</v>
      </c>
      <c r="C208" s="15" t="s">
        <v>609</v>
      </c>
      <c r="D208" s="15" t="s">
        <v>610</v>
      </c>
      <c r="E208" s="15" t="s">
        <v>611</v>
      </c>
      <c r="F208" s="15" t="s">
        <v>795</v>
      </c>
    </row>
    <row r="209">
      <c r="A209" s="15" t="s">
        <v>796</v>
      </c>
      <c r="B209" s="15" t="s">
        <v>797</v>
      </c>
      <c r="C209" s="15" t="s">
        <v>703</v>
      </c>
      <c r="D209" s="15" t="s">
        <v>610</v>
      </c>
      <c r="E209" s="15" t="s">
        <v>704</v>
      </c>
      <c r="F209" s="15" t="s">
        <v>798</v>
      </c>
    </row>
    <row r="210">
      <c r="A210" s="15" t="s">
        <v>799</v>
      </c>
      <c r="B210" s="15" t="s">
        <v>800</v>
      </c>
      <c r="C210" s="15" t="s">
        <v>609</v>
      </c>
      <c r="D210" s="15" t="s">
        <v>610</v>
      </c>
      <c r="E210" s="15" t="s">
        <v>611</v>
      </c>
      <c r="F210" s="15" t="s">
        <v>801</v>
      </c>
    </row>
    <row r="211">
      <c r="A211" s="15" t="s">
        <v>802</v>
      </c>
      <c r="B211" s="15" t="s">
        <v>803</v>
      </c>
      <c r="C211" s="15" t="s">
        <v>609</v>
      </c>
      <c r="D211" s="15" t="s">
        <v>610</v>
      </c>
      <c r="E211" s="15" t="s">
        <v>611</v>
      </c>
      <c r="F211" s="15" t="s">
        <v>804</v>
      </c>
    </row>
    <row r="212">
      <c r="A212" s="15" t="s">
        <v>805</v>
      </c>
      <c r="B212" s="15" t="s">
        <v>806</v>
      </c>
      <c r="C212" s="15" t="s">
        <v>609</v>
      </c>
      <c r="D212" s="15" t="s">
        <v>610</v>
      </c>
      <c r="E212" s="15" t="s">
        <v>611</v>
      </c>
      <c r="F212" s="15" t="s">
        <v>807</v>
      </c>
    </row>
    <row r="213">
      <c r="A213" s="15" t="s">
        <v>808</v>
      </c>
      <c r="B213" s="15" t="s">
        <v>809</v>
      </c>
      <c r="C213" s="15" t="s">
        <v>609</v>
      </c>
      <c r="D213" s="15" t="s">
        <v>610</v>
      </c>
      <c r="E213" s="15" t="s">
        <v>611</v>
      </c>
      <c r="F213" s="15" t="s">
        <v>810</v>
      </c>
    </row>
    <row r="214">
      <c r="A214" s="15" t="s">
        <v>811</v>
      </c>
      <c r="B214" s="15" t="s">
        <v>812</v>
      </c>
      <c r="C214" s="15" t="s">
        <v>609</v>
      </c>
      <c r="D214" s="15" t="s">
        <v>610</v>
      </c>
      <c r="E214" s="15" t="s">
        <v>611</v>
      </c>
      <c r="F214" s="15" t="s">
        <v>813</v>
      </c>
    </row>
    <row r="215">
      <c r="A215" s="15" t="s">
        <v>814</v>
      </c>
      <c r="B215" s="15" t="s">
        <v>815</v>
      </c>
      <c r="C215" s="15" t="s">
        <v>609</v>
      </c>
      <c r="D215" s="15" t="s">
        <v>610</v>
      </c>
      <c r="E215" s="15" t="s">
        <v>611</v>
      </c>
      <c r="F215" s="15" t="s">
        <v>816</v>
      </c>
    </row>
    <row r="216">
      <c r="A216" s="15" t="s">
        <v>817</v>
      </c>
      <c r="B216" s="15" t="s">
        <v>818</v>
      </c>
      <c r="C216" s="15" t="s">
        <v>609</v>
      </c>
      <c r="D216" s="15" t="s">
        <v>610</v>
      </c>
      <c r="E216" s="15" t="s">
        <v>611</v>
      </c>
      <c r="F216" s="15" t="s">
        <v>819</v>
      </c>
    </row>
    <row r="217">
      <c r="A217" s="15" t="s">
        <v>820</v>
      </c>
      <c r="B217" s="15" t="s">
        <v>821</v>
      </c>
      <c r="C217" s="15" t="s">
        <v>609</v>
      </c>
      <c r="D217" s="15" t="s">
        <v>610</v>
      </c>
      <c r="E217" s="15" t="s">
        <v>611</v>
      </c>
      <c r="F217" s="15" t="s">
        <v>822</v>
      </c>
    </row>
    <row r="218">
      <c r="A218" s="15" t="s">
        <v>823</v>
      </c>
      <c r="B218" s="15" t="s">
        <v>824</v>
      </c>
      <c r="C218" s="15" t="s">
        <v>609</v>
      </c>
      <c r="D218" s="15" t="s">
        <v>610</v>
      </c>
      <c r="E218" s="15" t="s">
        <v>825</v>
      </c>
      <c r="F218" s="15" t="s">
        <v>826</v>
      </c>
    </row>
    <row r="219">
      <c r="A219" s="15" t="s">
        <v>827</v>
      </c>
      <c r="B219" s="15" t="s">
        <v>828</v>
      </c>
      <c r="C219" s="15" t="s">
        <v>609</v>
      </c>
      <c r="D219" s="15" t="s">
        <v>610</v>
      </c>
      <c r="E219" s="15" t="s">
        <v>611</v>
      </c>
      <c r="F219" s="15" t="s">
        <v>829</v>
      </c>
    </row>
    <row r="220">
      <c r="A220" s="15" t="s">
        <v>830</v>
      </c>
      <c r="B220" s="15" t="s">
        <v>831</v>
      </c>
      <c r="C220" s="15" t="s">
        <v>621</v>
      </c>
      <c r="D220" s="15" t="s">
        <v>610</v>
      </c>
      <c r="E220" s="15" t="s">
        <v>611</v>
      </c>
      <c r="F220" s="15" t="s">
        <v>832</v>
      </c>
    </row>
    <row r="221">
      <c r="A221" s="15" t="s">
        <v>833</v>
      </c>
      <c r="B221" s="15" t="s">
        <v>834</v>
      </c>
      <c r="C221" s="15" t="s">
        <v>609</v>
      </c>
      <c r="D221" s="15" t="s">
        <v>610</v>
      </c>
      <c r="E221" s="15" t="s">
        <v>611</v>
      </c>
      <c r="F221" s="15" t="s">
        <v>835</v>
      </c>
    </row>
    <row r="222">
      <c r="A222" s="15" t="s">
        <v>836</v>
      </c>
      <c r="B222" s="15" t="s">
        <v>837</v>
      </c>
      <c r="C222" s="15" t="s">
        <v>838</v>
      </c>
      <c r="D222" s="15" t="s">
        <v>610</v>
      </c>
      <c r="E222" s="15" t="s">
        <v>704</v>
      </c>
      <c r="F222" s="15" t="s">
        <v>839</v>
      </c>
    </row>
    <row r="223">
      <c r="A223" s="15" t="s">
        <v>840</v>
      </c>
      <c r="B223" s="15" t="s">
        <v>841</v>
      </c>
      <c r="C223" s="15" t="s">
        <v>609</v>
      </c>
      <c r="D223" s="15" t="s">
        <v>610</v>
      </c>
      <c r="E223" s="15" t="s">
        <v>611</v>
      </c>
      <c r="F223" s="15" t="s">
        <v>842</v>
      </c>
    </row>
    <row r="224">
      <c r="A224" s="15" t="s">
        <v>843</v>
      </c>
      <c r="B224" s="15" t="s">
        <v>844</v>
      </c>
      <c r="C224" s="15" t="s">
        <v>609</v>
      </c>
      <c r="D224" s="15" t="s">
        <v>610</v>
      </c>
      <c r="E224" s="15" t="s">
        <v>611</v>
      </c>
      <c r="F224" s="15" t="s">
        <v>845</v>
      </c>
    </row>
    <row r="225">
      <c r="A225" s="15" t="s">
        <v>846</v>
      </c>
      <c r="B225" s="15" t="s">
        <v>847</v>
      </c>
      <c r="C225" s="15" t="s">
        <v>609</v>
      </c>
      <c r="D225" s="15" t="s">
        <v>610</v>
      </c>
      <c r="E225" s="15" t="s">
        <v>611</v>
      </c>
      <c r="F225" s="15" t="s">
        <v>848</v>
      </c>
    </row>
    <row r="226">
      <c r="A226" s="15" t="s">
        <v>849</v>
      </c>
      <c r="B226" s="15" t="s">
        <v>850</v>
      </c>
      <c r="C226" s="15" t="s">
        <v>609</v>
      </c>
      <c r="D226" s="15" t="s">
        <v>610</v>
      </c>
      <c r="E226" s="15" t="s">
        <v>611</v>
      </c>
      <c r="F226" s="15" t="s">
        <v>851</v>
      </c>
    </row>
    <row r="227">
      <c r="A227" s="15" t="s">
        <v>852</v>
      </c>
      <c r="B227" s="15" t="s">
        <v>853</v>
      </c>
      <c r="C227" s="15" t="s">
        <v>609</v>
      </c>
      <c r="D227" s="15" t="s">
        <v>610</v>
      </c>
      <c r="E227" s="15" t="s">
        <v>611</v>
      </c>
      <c r="F227" s="15" t="s">
        <v>854</v>
      </c>
    </row>
    <row r="228">
      <c r="A228" s="15" t="s">
        <v>855</v>
      </c>
      <c r="B228" s="15" t="s">
        <v>856</v>
      </c>
      <c r="C228" s="15" t="s">
        <v>609</v>
      </c>
      <c r="D228" s="15" t="s">
        <v>610</v>
      </c>
      <c r="E228" s="15" t="s">
        <v>611</v>
      </c>
      <c r="F228" s="15" t="s">
        <v>857</v>
      </c>
    </row>
    <row r="229">
      <c r="A229" s="15" t="s">
        <v>858</v>
      </c>
      <c r="B229" s="15" t="s">
        <v>859</v>
      </c>
      <c r="C229" s="15" t="s">
        <v>609</v>
      </c>
      <c r="D229" s="15" t="s">
        <v>610</v>
      </c>
      <c r="E229" s="15" t="s">
        <v>611</v>
      </c>
      <c r="F229" s="15" t="s">
        <v>860</v>
      </c>
    </row>
    <row r="230">
      <c r="A230" s="15" t="s">
        <v>861</v>
      </c>
      <c r="B230" s="15" t="s">
        <v>862</v>
      </c>
      <c r="C230" s="15" t="s">
        <v>609</v>
      </c>
      <c r="D230" s="15" t="s">
        <v>610</v>
      </c>
      <c r="E230" s="15" t="s">
        <v>611</v>
      </c>
      <c r="F230" s="15" t="s">
        <v>863</v>
      </c>
    </row>
    <row r="231">
      <c r="A231" s="15" t="s">
        <v>864</v>
      </c>
      <c r="B231" s="15" t="s">
        <v>865</v>
      </c>
      <c r="C231" s="15" t="s">
        <v>609</v>
      </c>
      <c r="D231" s="15" t="s">
        <v>610</v>
      </c>
      <c r="E231" s="15" t="s">
        <v>611</v>
      </c>
      <c r="F231" s="15" t="s">
        <v>866</v>
      </c>
    </row>
    <row r="232">
      <c r="A232" s="15" t="s">
        <v>867</v>
      </c>
      <c r="B232" s="15" t="s">
        <v>868</v>
      </c>
      <c r="C232" s="15" t="s">
        <v>609</v>
      </c>
      <c r="D232" s="15" t="s">
        <v>610</v>
      </c>
      <c r="E232" s="15" t="s">
        <v>611</v>
      </c>
      <c r="F232" s="15" t="s">
        <v>869</v>
      </c>
    </row>
    <row r="233">
      <c r="A233" s="15" t="s">
        <v>870</v>
      </c>
      <c r="B233" s="15" t="s">
        <v>871</v>
      </c>
      <c r="C233" s="15" t="s">
        <v>609</v>
      </c>
      <c r="D233" s="15" t="s">
        <v>610</v>
      </c>
      <c r="E233" s="15" t="s">
        <v>611</v>
      </c>
      <c r="F233" s="15" t="s">
        <v>872</v>
      </c>
    </row>
    <row r="234">
      <c r="A234" s="15" t="s">
        <v>11</v>
      </c>
      <c r="B234" s="15" t="s">
        <v>873</v>
      </c>
      <c r="C234" s="15" t="s">
        <v>609</v>
      </c>
      <c r="D234" s="15" t="s">
        <v>610</v>
      </c>
      <c r="E234" s="15" t="s">
        <v>611</v>
      </c>
      <c r="F234" s="15" t="s">
        <v>874</v>
      </c>
    </row>
    <row r="235">
      <c r="A235" s="15" t="s">
        <v>875</v>
      </c>
      <c r="B235" s="15" t="s">
        <v>876</v>
      </c>
      <c r="C235" s="15" t="s">
        <v>609</v>
      </c>
      <c r="D235" s="15" t="s">
        <v>610</v>
      </c>
      <c r="E235" s="15" t="s">
        <v>611</v>
      </c>
      <c r="F235" s="15" t="s">
        <v>877</v>
      </c>
    </row>
    <row r="236">
      <c r="A236" s="15" t="s">
        <v>878</v>
      </c>
      <c r="B236" s="15" t="s">
        <v>879</v>
      </c>
      <c r="C236" s="15" t="s">
        <v>609</v>
      </c>
      <c r="D236" s="15" t="s">
        <v>610</v>
      </c>
      <c r="E236" s="15" t="s">
        <v>611</v>
      </c>
      <c r="F236" s="15" t="s">
        <v>880</v>
      </c>
    </row>
    <row r="237">
      <c r="A237" s="15" t="s">
        <v>881</v>
      </c>
      <c r="B237" s="15" t="s">
        <v>882</v>
      </c>
      <c r="C237" s="15" t="s">
        <v>609</v>
      </c>
      <c r="D237" s="15" t="s">
        <v>610</v>
      </c>
      <c r="E237" s="15" t="s">
        <v>611</v>
      </c>
      <c r="F237" s="15" t="s">
        <v>883</v>
      </c>
    </row>
    <row r="238">
      <c r="A238" s="15" t="s">
        <v>884</v>
      </c>
      <c r="B238" s="15" t="s">
        <v>885</v>
      </c>
      <c r="C238" s="15" t="s">
        <v>609</v>
      </c>
      <c r="D238" s="15" t="s">
        <v>610</v>
      </c>
      <c r="E238" s="15" t="s">
        <v>611</v>
      </c>
      <c r="F238" s="15" t="s">
        <v>886</v>
      </c>
    </row>
    <row r="239">
      <c r="A239" s="15" t="s">
        <v>887</v>
      </c>
      <c r="B239" s="15" t="s">
        <v>888</v>
      </c>
      <c r="C239" s="15" t="s">
        <v>609</v>
      </c>
      <c r="D239" s="15" t="s">
        <v>610</v>
      </c>
      <c r="E239" s="15" t="s">
        <v>611</v>
      </c>
      <c r="F239" s="15" t="s">
        <v>889</v>
      </c>
    </row>
    <row r="240">
      <c r="A240" s="15" t="s">
        <v>890</v>
      </c>
      <c r="B240" s="15" t="s">
        <v>891</v>
      </c>
      <c r="C240" s="15" t="s">
        <v>609</v>
      </c>
      <c r="D240" s="15" t="s">
        <v>610</v>
      </c>
      <c r="E240" s="15" t="s">
        <v>611</v>
      </c>
      <c r="F240" s="15" t="s">
        <v>892</v>
      </c>
    </row>
    <row r="241">
      <c r="A241" s="15" t="s">
        <v>893</v>
      </c>
      <c r="B241" s="15" t="s">
        <v>894</v>
      </c>
      <c r="C241" s="15" t="s">
        <v>609</v>
      </c>
      <c r="D241" s="15" t="s">
        <v>610</v>
      </c>
      <c r="E241" s="15" t="s">
        <v>611</v>
      </c>
      <c r="F241" s="15" t="s">
        <v>895</v>
      </c>
    </row>
    <row r="242">
      <c r="A242" s="15" t="s">
        <v>896</v>
      </c>
      <c r="B242" s="15" t="s">
        <v>897</v>
      </c>
      <c r="C242" s="15" t="s">
        <v>609</v>
      </c>
      <c r="D242" s="15" t="s">
        <v>610</v>
      </c>
      <c r="E242" s="15" t="s">
        <v>611</v>
      </c>
      <c r="F242" s="15" t="s">
        <v>898</v>
      </c>
    </row>
    <row r="243">
      <c r="A243" s="15" t="s">
        <v>899</v>
      </c>
      <c r="B243" s="15" t="s">
        <v>900</v>
      </c>
      <c r="C243" s="15" t="s">
        <v>838</v>
      </c>
      <c r="D243" s="15" t="s">
        <v>610</v>
      </c>
      <c r="E243" s="15" t="s">
        <v>704</v>
      </c>
      <c r="F243" s="15" t="s">
        <v>901</v>
      </c>
    </row>
    <row r="244">
      <c r="A244" s="15" t="s">
        <v>902</v>
      </c>
      <c r="B244" s="15" t="s">
        <v>903</v>
      </c>
      <c r="C244" s="15" t="s">
        <v>609</v>
      </c>
      <c r="D244" s="15" t="s">
        <v>610</v>
      </c>
      <c r="E244" s="15" t="s">
        <v>611</v>
      </c>
      <c r="F244" s="15" t="s">
        <v>904</v>
      </c>
    </row>
    <row r="245">
      <c r="A245" s="15" t="s">
        <v>905</v>
      </c>
      <c r="B245" s="15" t="s">
        <v>906</v>
      </c>
      <c r="C245" s="15" t="s">
        <v>609</v>
      </c>
      <c r="D245" s="15" t="s">
        <v>610</v>
      </c>
      <c r="E245" s="15" t="s">
        <v>611</v>
      </c>
      <c r="F245" s="15" t="s">
        <v>907</v>
      </c>
    </row>
    <row r="246">
      <c r="A246" s="15" t="s">
        <v>908</v>
      </c>
      <c r="B246" s="15" t="s">
        <v>909</v>
      </c>
      <c r="C246" s="15" t="s">
        <v>838</v>
      </c>
      <c r="D246" s="15" t="s">
        <v>610</v>
      </c>
      <c r="E246" s="15" t="s">
        <v>704</v>
      </c>
      <c r="F246" s="15" t="s">
        <v>910</v>
      </c>
    </row>
    <row r="247">
      <c r="A247" s="15" t="s">
        <v>911</v>
      </c>
      <c r="B247" s="15" t="s">
        <v>912</v>
      </c>
      <c r="C247" s="15" t="s">
        <v>609</v>
      </c>
      <c r="D247" s="15" t="s">
        <v>610</v>
      </c>
      <c r="E247" s="15" t="s">
        <v>611</v>
      </c>
      <c r="F247" s="15" t="s">
        <v>913</v>
      </c>
    </row>
    <row r="248">
      <c r="A248" s="15" t="s">
        <v>914</v>
      </c>
      <c r="B248" s="15" t="s">
        <v>915</v>
      </c>
      <c r="C248" s="15" t="s">
        <v>609</v>
      </c>
      <c r="D248" s="15" t="s">
        <v>610</v>
      </c>
      <c r="E248" s="15" t="s">
        <v>611</v>
      </c>
      <c r="F248" s="15" t="s">
        <v>916</v>
      </c>
    </row>
    <row r="249">
      <c r="A249" s="15" t="s">
        <v>917</v>
      </c>
      <c r="B249" s="15" t="s">
        <v>918</v>
      </c>
      <c r="C249" s="15" t="s">
        <v>609</v>
      </c>
      <c r="D249" s="15" t="s">
        <v>610</v>
      </c>
      <c r="E249" s="15" t="s">
        <v>611</v>
      </c>
      <c r="F249" s="15" t="s">
        <v>919</v>
      </c>
    </row>
    <row r="250">
      <c r="A250" s="15" t="s">
        <v>920</v>
      </c>
      <c r="B250" s="15" t="s">
        <v>921</v>
      </c>
      <c r="C250" s="15" t="s">
        <v>609</v>
      </c>
      <c r="D250" s="15" t="s">
        <v>610</v>
      </c>
      <c r="E250" s="15" t="s">
        <v>611</v>
      </c>
      <c r="F250" s="15" t="s">
        <v>922</v>
      </c>
    </row>
    <row r="251">
      <c r="A251" s="15" t="s">
        <v>923</v>
      </c>
      <c r="B251" s="15" t="s">
        <v>924</v>
      </c>
      <c r="C251" s="15" t="s">
        <v>609</v>
      </c>
      <c r="D251" s="15" t="s">
        <v>610</v>
      </c>
      <c r="E251" s="15" t="s">
        <v>611</v>
      </c>
      <c r="F251" s="15" t="s">
        <v>925</v>
      </c>
    </row>
    <row r="252">
      <c r="A252" s="15" t="s">
        <v>926</v>
      </c>
      <c r="B252" s="15" t="s">
        <v>927</v>
      </c>
      <c r="C252" s="15" t="s">
        <v>609</v>
      </c>
      <c r="D252" s="15" t="s">
        <v>610</v>
      </c>
      <c r="E252" s="15" t="s">
        <v>611</v>
      </c>
      <c r="F252" s="15" t="s">
        <v>928</v>
      </c>
    </row>
    <row r="253">
      <c r="A253" s="15" t="s">
        <v>929</v>
      </c>
      <c r="B253" s="15" t="s">
        <v>930</v>
      </c>
      <c r="C253" s="15" t="s">
        <v>609</v>
      </c>
      <c r="D253" s="15" t="s">
        <v>610</v>
      </c>
      <c r="E253" s="15" t="s">
        <v>611</v>
      </c>
      <c r="F253" s="15" t="s">
        <v>931</v>
      </c>
    </row>
    <row r="254">
      <c r="A254" s="15" t="s">
        <v>932</v>
      </c>
      <c r="B254" s="15" t="s">
        <v>933</v>
      </c>
      <c r="C254" s="15" t="s">
        <v>609</v>
      </c>
      <c r="D254" s="15" t="s">
        <v>610</v>
      </c>
      <c r="E254" s="15" t="s">
        <v>611</v>
      </c>
      <c r="F254" s="15" t="s">
        <v>934</v>
      </c>
    </row>
    <row r="255">
      <c r="A255" s="15" t="s">
        <v>935</v>
      </c>
      <c r="B255" s="15" t="s">
        <v>936</v>
      </c>
      <c r="C255" s="15" t="s">
        <v>609</v>
      </c>
      <c r="D255" s="15" t="s">
        <v>610</v>
      </c>
      <c r="E255" s="15" t="s">
        <v>611</v>
      </c>
      <c r="F255" s="15" t="s">
        <v>937</v>
      </c>
    </row>
    <row r="256">
      <c r="A256" s="15" t="s">
        <v>938</v>
      </c>
      <c r="B256" s="15" t="s">
        <v>939</v>
      </c>
      <c r="C256" s="15" t="s">
        <v>609</v>
      </c>
      <c r="D256" s="15" t="s">
        <v>610</v>
      </c>
      <c r="E256" s="15" t="s">
        <v>611</v>
      </c>
      <c r="F256" s="15" t="s">
        <v>940</v>
      </c>
    </row>
    <row r="257">
      <c r="A257" s="15" t="s">
        <v>941</v>
      </c>
      <c r="B257" s="15" t="s">
        <v>942</v>
      </c>
      <c r="C257" s="15" t="s">
        <v>609</v>
      </c>
      <c r="D257" s="15" t="s">
        <v>610</v>
      </c>
      <c r="E257" s="15" t="s">
        <v>611</v>
      </c>
      <c r="F257" s="15" t="s">
        <v>943</v>
      </c>
    </row>
    <row r="258">
      <c r="A258" s="15" t="s">
        <v>944</v>
      </c>
      <c r="B258" s="15" t="s">
        <v>945</v>
      </c>
      <c r="C258" s="15" t="s">
        <v>609</v>
      </c>
      <c r="D258" s="15" t="s">
        <v>610</v>
      </c>
      <c r="E258" s="15" t="s">
        <v>611</v>
      </c>
      <c r="F258" s="15" t="s">
        <v>946</v>
      </c>
    </row>
    <row r="259">
      <c r="A259" s="15" t="s">
        <v>947</v>
      </c>
      <c r="B259" s="15" t="s">
        <v>948</v>
      </c>
      <c r="C259" s="15" t="s">
        <v>609</v>
      </c>
      <c r="D259" s="15" t="s">
        <v>610</v>
      </c>
      <c r="E259" s="15" t="s">
        <v>611</v>
      </c>
      <c r="F259" s="15" t="s">
        <v>949</v>
      </c>
    </row>
    <row r="260">
      <c r="A260" s="15" t="s">
        <v>950</v>
      </c>
      <c r="B260" s="15" t="s">
        <v>951</v>
      </c>
      <c r="C260" s="15" t="s">
        <v>609</v>
      </c>
      <c r="D260" s="15" t="s">
        <v>610</v>
      </c>
      <c r="E260" s="15" t="s">
        <v>611</v>
      </c>
      <c r="F260" s="15" t="s">
        <v>952</v>
      </c>
    </row>
    <row r="261">
      <c r="A261" s="15" t="s">
        <v>953</v>
      </c>
      <c r="B261" s="15" t="s">
        <v>954</v>
      </c>
      <c r="C261" s="15" t="s">
        <v>609</v>
      </c>
      <c r="D261" s="15" t="s">
        <v>610</v>
      </c>
      <c r="E261" s="15" t="s">
        <v>611</v>
      </c>
      <c r="F261" s="15" t="s">
        <v>955</v>
      </c>
    </row>
    <row r="262">
      <c r="A262" s="15" t="s">
        <v>956</v>
      </c>
      <c r="B262" s="15" t="s">
        <v>957</v>
      </c>
      <c r="C262" s="15" t="s">
        <v>609</v>
      </c>
      <c r="D262" s="15" t="s">
        <v>610</v>
      </c>
      <c r="E262" s="15" t="s">
        <v>611</v>
      </c>
      <c r="F262" s="15" t="s">
        <v>958</v>
      </c>
    </row>
    <row r="263">
      <c r="A263" s="15" t="s">
        <v>959</v>
      </c>
      <c r="B263" s="15" t="s">
        <v>960</v>
      </c>
      <c r="C263" s="15" t="s">
        <v>609</v>
      </c>
      <c r="D263" s="15" t="s">
        <v>610</v>
      </c>
      <c r="E263" s="15" t="s">
        <v>611</v>
      </c>
      <c r="F263" s="15" t="s">
        <v>961</v>
      </c>
    </row>
    <row r="264">
      <c r="A264" s="15" t="s">
        <v>962</v>
      </c>
      <c r="B264" s="15" t="s">
        <v>963</v>
      </c>
      <c r="C264" s="15" t="s">
        <v>609</v>
      </c>
      <c r="D264" s="15" t="s">
        <v>610</v>
      </c>
      <c r="E264" s="15" t="s">
        <v>611</v>
      </c>
      <c r="F264" s="15" t="s">
        <v>964</v>
      </c>
    </row>
    <row r="265">
      <c r="A265" s="15" t="s">
        <v>965</v>
      </c>
      <c r="B265" s="15" t="s">
        <v>966</v>
      </c>
      <c r="C265" s="15" t="s">
        <v>609</v>
      </c>
      <c r="D265" s="15" t="s">
        <v>610</v>
      </c>
      <c r="E265" s="15" t="s">
        <v>611</v>
      </c>
      <c r="F265" s="15" t="s">
        <v>967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3.0"/>
    <col customWidth="1" min="2" max="2" width="14.75"/>
    <col customWidth="1" min="3" max="3" width="35.0"/>
    <col customWidth="1" hidden="1" min="4" max="4" width="7.38"/>
    <col customWidth="1" hidden="1" min="5" max="5" width="32.0"/>
    <col customWidth="1" hidden="1" min="6" max="6" width="13.0"/>
    <col customWidth="1" min="7" max="7" width="12.5"/>
    <col customWidth="1" min="8" max="8" width="19.63"/>
    <col customWidth="1" min="9" max="9" width="9.25"/>
    <col customWidth="1" min="11" max="11" width="9.25"/>
    <col customWidth="1" min="13" max="13" width="9.13"/>
    <col customWidth="1" min="15" max="15" width="9.13"/>
    <col customWidth="1" min="17" max="17" width="9.13"/>
    <col customWidth="1" min="19" max="19" width="9.25"/>
    <col customWidth="1" min="21" max="21" width="9.25"/>
    <col customWidth="1" min="23" max="23" width="9.25"/>
    <col customWidth="1" min="25" max="25" width="9.25"/>
    <col customWidth="1" min="27" max="27" width="9.25"/>
    <col customWidth="1" min="29" max="29" width="9.25"/>
    <col customWidth="1" min="31" max="31" width="7.75"/>
    <col customWidth="1" min="32" max="38" width="8.0"/>
    <col customWidth="1" hidden="1" min="39" max="39" width="8.0"/>
    <col customWidth="1" min="40" max="40" width="22.88"/>
    <col customWidth="1" min="41" max="41" width="21.75"/>
    <col customWidth="1" min="42" max="42" width="9.5"/>
    <col customWidth="1" min="43" max="43" width="10.25"/>
  </cols>
  <sheetData>
    <row r="1" hidden="1">
      <c r="B1" s="16" t="s">
        <v>968</v>
      </c>
      <c r="C1" s="17" t="str">
        <f>META!C8</f>
        <v>Programming Language I</v>
      </c>
    </row>
    <row r="2" hidden="1">
      <c r="B2" s="16" t="s">
        <v>969</v>
      </c>
      <c r="C2" s="17" t="str">
        <f>META!C7</f>
        <v>CSE110</v>
      </c>
    </row>
    <row r="3" hidden="1">
      <c r="B3" s="16" t="s">
        <v>970</v>
      </c>
      <c r="C3" s="17" t="str">
        <f>META!C11</f>
        <v>FALL-25</v>
      </c>
    </row>
    <row r="4" hidden="1">
      <c r="B4" s="16" t="s">
        <v>971</v>
      </c>
      <c r="C4" s="17">
        <f>META!C10</f>
        <v>13</v>
      </c>
    </row>
    <row r="5" hidden="1">
      <c r="B5" s="16" t="s">
        <v>972</v>
      </c>
      <c r="C5" s="17" t="str">
        <f>META!C9</f>
        <v>WED</v>
      </c>
    </row>
    <row r="6" hidden="1">
      <c r="B6" s="16" t="s">
        <v>973</v>
      </c>
      <c r="C6" s="18" t="str">
        <f>"["&amp;META!D12&amp;"] - "&amp;META!C12</f>
        <v>[NTN] - ext.naima.tahsin@bracu.ac.bd</v>
      </c>
    </row>
    <row r="7" hidden="1">
      <c r="B7" s="16" t="s">
        <v>974</v>
      </c>
      <c r="C7" s="18" t="str">
        <f>"["&amp;META!D13&amp;"] - "&amp;META!C13</f>
        <v>[RKBM] - mohammad.rakibul@bracu.ac.bd</v>
      </c>
    </row>
    <row r="8" hidden="1">
      <c r="A8" s="19"/>
    </row>
    <row r="9">
      <c r="A9" s="20" t="str">
        <f>IFERROR(__xludf.DUMMYFUNCTION("IMPORTRANGE(""https://docs.google.com/spreadsheets/d/"" &amp; META!C15 &amp; ""/edit"", META!C16 &amp; META!C17)
"),"")</f>
        <v/>
      </c>
      <c r="B9" s="21"/>
      <c r="C9" s="13"/>
      <c r="D9" s="22"/>
      <c r="E9" s="22"/>
      <c r="F9" s="22"/>
      <c r="G9" s="23" t="str">
        <f>IFERROR(__xludf.DUMMYFUNCTION("""COMPUTED_VALUE"""),"Absent Count ")</f>
        <v>Absent Count </v>
      </c>
      <c r="H9" s="23" t="str">
        <f>IFERROR(__xludf.DUMMYFUNCTION("""COMPUTED_VALUE"""),"Attendance Percentage")</f>
        <v>Attendance Percentage</v>
      </c>
      <c r="I9" s="24" t="str">
        <f>IFERROR(__xludf.DUMMYFUNCTION("""COMPUTED_VALUE"""),"Lab 1
(22/10/25)")</f>
        <v>Lab 1
(22/10/25)</v>
      </c>
      <c r="J9" s="13"/>
      <c r="K9" s="24" t="str">
        <f>IFERROR(__xludf.DUMMYFUNCTION("""COMPUTED_VALUE"""),"Lab 2
(29/10/25)")</f>
        <v>Lab 2
(29/10/25)</v>
      </c>
      <c r="L9" s="13"/>
      <c r="M9" s="24" t="str">
        <f>IFERROR(__xludf.DUMMYFUNCTION("""COMPUTED_VALUE"""),"Lab 3
(05/11/25)")</f>
        <v>Lab 3
(05/11/25)</v>
      </c>
      <c r="N9" s="13"/>
      <c r="O9" s="24" t="str">
        <f>IFERROR(__xludf.DUMMYFUNCTION("""COMPUTED_VALUE"""),"Lab 4 (ONLINE)
(12/11/25)")</f>
        <v>Lab 4 (ONLINE)
(12/11/25)</v>
      </c>
      <c r="P9" s="13"/>
      <c r="Q9" s="24" t="str">
        <f>IFERROR(__xludf.DUMMYFUNCTION("""COMPUTED_VALUE"""),"Lab 5
(19/11/25)")</f>
        <v>Lab 5
(19/11/25)</v>
      </c>
      <c r="R9" s="13"/>
      <c r="S9" s="24" t="str">
        <f>IFERROR(__xludf.DUMMYFUNCTION("""COMPUTED_VALUE"""),"Lab 6
(10/12/25)")</f>
        <v>Lab 6
(10/12/25)</v>
      </c>
      <c r="T9" s="13"/>
      <c r="U9" s="24" t="str">
        <f>IFERROR(__xludf.DUMMYFUNCTION("""COMPUTED_VALUE"""),"Lab 7
(17/12/25)")</f>
        <v>Lab 7
(17/12/25)</v>
      </c>
      <c r="V9" s="13"/>
      <c r="W9" s="24" t="str">
        <f>IFERROR(__xludf.DUMMYFUNCTION("""COMPUTED_VALUE"""),"Lab 8
(24/12/25)")</f>
        <v>Lab 8
(24/12/25)</v>
      </c>
      <c r="X9" s="13"/>
      <c r="Y9" s="24" t="str">
        <f>IFERROR(__xludf.DUMMYFUNCTION("""COMPUTED_VALUE"""),"Lab 9
(07/01/26)")</f>
        <v>Lab 9
(07/01/26)</v>
      </c>
      <c r="Z9" s="13"/>
      <c r="AA9" s="24" t="str">
        <f>IFERROR(__xludf.DUMMYFUNCTION("""COMPUTED_VALUE"""),"Lab 10
(DD/01/26)")</f>
        <v>Lab 10
(DD/01/26)</v>
      </c>
      <c r="AB9" s="13"/>
      <c r="AC9" s="24" t="str">
        <f>IFERROR(__xludf.DUMMYFUNCTION("""COMPUTED_VALUE"""),"Lab 11
(DD/01/26)")</f>
        <v>Lab 11
(DD/01/26)</v>
      </c>
      <c r="AD9" s="13"/>
      <c r="AE9" s="25" t="str">
        <f>IFERROR(__xludf.DUMMYFUNCTION("""COMPUTED_VALUE"""),"Lab Assignments")</f>
        <v>Lab Assignments</v>
      </c>
      <c r="AF9" s="21"/>
      <c r="AG9" s="21"/>
      <c r="AH9" s="21"/>
      <c r="AI9" s="21"/>
      <c r="AJ9" s="21"/>
      <c r="AK9" s="21"/>
      <c r="AL9" s="21"/>
      <c r="AM9" s="13"/>
      <c r="AN9" s="26" t="str">
        <f>IFERROR(__xludf.DUMMYFUNCTION("""COMPUTED_VALUE"""),"Lab Assignments (Out of 2)")</f>
        <v>Lab Assignments (Out of 2)</v>
      </c>
      <c r="AO9" s="26" t="str">
        <f>IFERROR(__xludf.DUMMYFUNCTION("""COMPUTED_VALUE"""),"Lab Evaluations (Out of 3)")</f>
        <v>Lab Evaluations (Out of 3)</v>
      </c>
      <c r="AP9" s="26" t="str">
        <f>IFERROR(__xludf.DUMMYFUNCTION("""COMPUTED_VALUE"""),"Lab Exam
(Out of 20)")</f>
        <v>Lab Exam
(Out of 20)</v>
      </c>
      <c r="AQ9" s="27" t="str">
        <f>IFERROR(__xludf.DUMMYFUNCTION("""COMPUTED_VALUE"""),"Total Marks
(Out of 25)")</f>
        <v>Total Marks
(Out of 25)</v>
      </c>
    </row>
    <row r="10">
      <c r="A10" s="28" t="str">
        <f>IFERROR(__xludf.DUMMYFUNCTION("""COMPUTED_VALUE"""),"SL")</f>
        <v>SL</v>
      </c>
      <c r="B10" s="28" t="str">
        <f>IFERROR(__xludf.DUMMYFUNCTION("""COMPUTED_VALUE"""),"ID")</f>
        <v>ID</v>
      </c>
      <c r="C10" s="28" t="str">
        <f>IFERROR(__xludf.DUMMYFUNCTION("""COMPUTED_VALUE"""),"Name")</f>
        <v>Name</v>
      </c>
      <c r="D10" s="22" t="str">
        <f>IFERROR(__xludf.DUMMYFUNCTION("""COMPUTED_VALUE"""),"Program")</f>
        <v>Program</v>
      </c>
      <c r="E10" s="22" t="str">
        <f>IFERROR(__xludf.DUMMYFUNCTION("""COMPUTED_VALUE"""),"Email")</f>
        <v>Email</v>
      </c>
      <c r="F10" s="22" t="str">
        <f>IFERROR(__xludf.DUMMYFUNCTION("""COMPUTED_VALUE"""),"Phone")</f>
        <v>Phone</v>
      </c>
      <c r="G10" s="29"/>
      <c r="H10" s="29"/>
      <c r="I10" s="30" t="str">
        <f>IFERROR(__xludf.DUMMYFUNCTION("""COMPUTED_VALUE"""),"Attd.")</f>
        <v>Attd.</v>
      </c>
      <c r="J10" s="30"/>
      <c r="K10" s="30" t="str">
        <f>IFERROR(__xludf.DUMMYFUNCTION("""COMPUTED_VALUE"""),"Attd.")</f>
        <v>Attd.</v>
      </c>
      <c r="L10" s="30" t="str">
        <f>IFERROR(__xludf.DUMMYFUNCTION("""COMPUTED_VALUE"""),"Evaluation (5)")</f>
        <v>Evaluation (5)</v>
      </c>
      <c r="M10" s="30" t="str">
        <f>IFERROR(__xludf.DUMMYFUNCTION("""COMPUTED_VALUE"""),"Attd.")</f>
        <v>Attd.</v>
      </c>
      <c r="N10" s="30" t="str">
        <f>IFERROR(__xludf.DUMMYFUNCTION("""COMPUTED_VALUE"""),"Exam (10)")</f>
        <v>Exam (10)</v>
      </c>
      <c r="O10" s="30" t="str">
        <f>IFERROR(__xludf.DUMMYFUNCTION("""COMPUTED_VALUE"""),"Attd.")</f>
        <v>Attd.</v>
      </c>
      <c r="P10" s="30"/>
      <c r="Q10" s="30" t="str">
        <f>IFERROR(__xludf.DUMMYFUNCTION("""COMPUTED_VALUE"""),"Attd.")</f>
        <v>Attd.</v>
      </c>
      <c r="R10" s="30" t="str">
        <f>IFERROR(__xludf.DUMMYFUNCTION("""COMPUTED_VALUE"""),"Exam (10)")</f>
        <v>Exam (10)</v>
      </c>
      <c r="S10" s="30" t="str">
        <f>IFERROR(__xludf.DUMMYFUNCTION("""COMPUTED_VALUE"""),"Attd.")</f>
        <v>Attd.</v>
      </c>
      <c r="T10" s="30" t="str">
        <f>IFERROR(__xludf.DUMMYFUNCTION("""COMPUTED_VALUE"""),"Evaluation (5)")</f>
        <v>Evaluation (5)</v>
      </c>
      <c r="U10" s="30" t="str">
        <f>IFERROR(__xludf.DUMMYFUNCTION("""COMPUTED_VALUE"""),"Attd.")</f>
        <v>Attd.</v>
      </c>
      <c r="V10" s="30" t="str">
        <f>IFERROR(__xludf.DUMMYFUNCTION("""COMPUTED_VALUE"""),"Exam (10)")</f>
        <v>Exam (10)</v>
      </c>
      <c r="W10" s="30" t="str">
        <f>IFERROR(__xludf.DUMMYFUNCTION("""COMPUTED_VALUE"""),"Attd.")</f>
        <v>Attd.</v>
      </c>
      <c r="X10" s="30" t="str">
        <f>IFERROR(__xludf.DUMMYFUNCTION("""COMPUTED_VALUE"""),"Exam (10)")</f>
        <v>Exam (10)</v>
      </c>
      <c r="Y10" s="30" t="str">
        <f>IFERROR(__xludf.DUMMYFUNCTION("""COMPUTED_VALUE"""),"Attd.")</f>
        <v>Attd.</v>
      </c>
      <c r="Z10" s="30"/>
      <c r="AA10" s="30" t="str">
        <f>IFERROR(__xludf.DUMMYFUNCTION("""COMPUTED_VALUE"""),"Attd.")</f>
        <v>Attd.</v>
      </c>
      <c r="AB10" s="30"/>
      <c r="AC10" s="30" t="str">
        <f>IFERROR(__xludf.DUMMYFUNCTION("""COMPUTED_VALUE"""),"Attd.")</f>
        <v>Attd.</v>
      </c>
      <c r="AD10" s="30"/>
      <c r="AE10" s="31" t="str">
        <f>IFERROR(__xludf.DUMMYFUNCTION("""COMPUTED_VALUE"""),"Lab 1 (5)")</f>
        <v>Lab 1 (5)</v>
      </c>
      <c r="AF10" s="31" t="str">
        <f>IFERROR(__xludf.DUMMYFUNCTION("""COMPUTED_VALUE"""),"Lab 2 (5)")</f>
        <v>Lab 2 (5)</v>
      </c>
      <c r="AG10" s="31" t="str">
        <f>IFERROR(__xludf.DUMMYFUNCTION("""COMPUTED_VALUE"""),"Lab 3 (5)")</f>
        <v>Lab 3 (5)</v>
      </c>
      <c r="AH10" s="31" t="str">
        <f>IFERROR(__xludf.DUMMYFUNCTION("""COMPUTED_VALUE"""),"Lab 4 (5)")</f>
        <v>Lab 4 (5)</v>
      </c>
      <c r="AI10" s="31" t="str">
        <f>IFERROR(__xludf.DUMMYFUNCTION("""COMPUTED_VALUE"""),"Lab 5 (5)")</f>
        <v>Lab 5 (5)</v>
      </c>
      <c r="AJ10" s="31" t="str">
        <f>IFERROR(__xludf.DUMMYFUNCTION("""COMPUTED_VALUE"""),"Lab 6 (5)")</f>
        <v>Lab 6 (5)</v>
      </c>
      <c r="AK10" s="31" t="str">
        <f>IFERROR(__xludf.DUMMYFUNCTION("""COMPUTED_VALUE"""),"Lab 7 (5)")</f>
        <v>Lab 7 (5)</v>
      </c>
      <c r="AL10" s="31" t="str">
        <f>IFERROR(__xludf.DUMMYFUNCTION("""COMPUTED_VALUE"""),"Lab 8 (5)")</f>
        <v>Lab 8 (5)</v>
      </c>
      <c r="AM10" s="31" t="str">
        <f>IFERROR(__xludf.DUMMYFUNCTION("""COMPUTED_VALUE"""),"Lab 9 (5)")</f>
        <v>Lab 9 (5)</v>
      </c>
      <c r="AN10" s="29"/>
      <c r="AO10" s="29"/>
      <c r="AP10" s="29"/>
      <c r="AQ10" s="29"/>
    </row>
    <row r="11">
      <c r="A11" s="18">
        <f>IFERROR(__xludf.DUMMYFUNCTION("""COMPUTED_VALUE"""),1.0)</f>
        <v>1</v>
      </c>
      <c r="B11" s="32" t="str">
        <f>IFERROR(__xludf.DUMMYFUNCTION("""COMPUTED_VALUE"""),"23115004")</f>
        <v>23115004</v>
      </c>
      <c r="C11" s="18" t="str">
        <f>IFERROR(__xludf.DUMMYFUNCTION("""COMPUTED_VALUE"""),"MST.SADIA AFRIN")</f>
        <v>MST.SADIA AFRIN</v>
      </c>
      <c r="D11" s="15" t="str">
        <f>IFERROR(__xludf.DUMMYFUNCTION("""COMPUTED_VALUE"""),"APE")</f>
        <v>APE</v>
      </c>
      <c r="E11" s="15" t="str">
        <f>IFERROR(__xludf.DUMMYFUNCTION("""COMPUTED_VALUE"""),"mst.sadia.afrin@g.bracu.ac.bd")</f>
        <v>mst.sadia.afrin@g.bracu.ac.bd</v>
      </c>
      <c r="F11" s="33" t="str">
        <f>IFERROR(__xludf.DUMMYFUNCTION("""COMPUTED_VALUE"""),"01600107458")</f>
        <v>01600107458</v>
      </c>
      <c r="G11" s="22">
        <f>IFERROR(__xludf.DUMMYFUNCTION("""COMPUTED_VALUE"""),1.0)</f>
        <v>1</v>
      </c>
      <c r="H11" s="34">
        <f>IFERROR(__xludf.DUMMYFUNCTION("""COMPUTED_VALUE"""),0.9)</f>
        <v>0.9</v>
      </c>
      <c r="I11" s="35">
        <f>IFERROR(__xludf.DUMMYFUNCTION("""COMPUTED_VALUE"""),1.0)</f>
        <v>1</v>
      </c>
      <c r="J11" s="35"/>
      <c r="K11" s="35">
        <f>IFERROR(__xludf.DUMMYFUNCTION("""COMPUTED_VALUE"""),1.0)</f>
        <v>1</v>
      </c>
      <c r="L11" s="35">
        <f>IFERROR(__xludf.DUMMYFUNCTION("""COMPUTED_VALUE"""),5.0)</f>
        <v>5</v>
      </c>
      <c r="M11" s="35">
        <f>IFERROR(__xludf.DUMMYFUNCTION("""COMPUTED_VALUE"""),1.0)</f>
        <v>1</v>
      </c>
      <c r="N11" s="35">
        <f>IFERROR(__xludf.DUMMYFUNCTION("""COMPUTED_VALUE"""),7.0)</f>
        <v>7</v>
      </c>
      <c r="O11" s="35">
        <f>IFERROR(__xludf.DUMMYFUNCTION("""COMPUTED_VALUE"""),1.0)</f>
        <v>1</v>
      </c>
      <c r="P11" s="35"/>
      <c r="Q11" s="35">
        <f>IFERROR(__xludf.DUMMYFUNCTION("""COMPUTED_VALUE"""),1.0)</f>
        <v>1</v>
      </c>
      <c r="R11" s="35">
        <f>IFERROR(__xludf.DUMMYFUNCTION("""COMPUTED_VALUE"""),10.0)</f>
        <v>10</v>
      </c>
      <c r="S11" s="35"/>
      <c r="T11" s="35"/>
      <c r="U11" s="35">
        <f>IFERROR(__xludf.DUMMYFUNCTION("""COMPUTED_VALUE"""),1.0)</f>
        <v>1</v>
      </c>
      <c r="V11" s="35">
        <f>IFERROR(__xludf.DUMMYFUNCTION("""COMPUTED_VALUE"""),8.0)</f>
        <v>8</v>
      </c>
      <c r="W11" s="35">
        <f>IFERROR(__xludf.DUMMYFUNCTION("""COMPUTED_VALUE"""),1.0)</f>
        <v>1</v>
      </c>
      <c r="X11" s="35">
        <f>IFERROR(__xludf.DUMMYFUNCTION("""COMPUTED_VALUE"""),4.0)</f>
        <v>4</v>
      </c>
      <c r="Y11" s="35">
        <f>IFERROR(__xludf.DUMMYFUNCTION("""COMPUTED_VALUE"""),0.0)</f>
        <v>0</v>
      </c>
      <c r="Z11" s="35"/>
      <c r="AA11" s="35"/>
      <c r="AB11" s="35"/>
      <c r="AC11" s="35"/>
      <c r="AD11" s="35"/>
      <c r="AE11" s="35">
        <f>IFERROR(__xludf.DUMMYFUNCTION("""COMPUTED_VALUE"""),5.0)</f>
        <v>5</v>
      </c>
      <c r="AF11" s="35">
        <f>IFERROR(__xludf.DUMMYFUNCTION("""COMPUTED_VALUE"""),5.0)</f>
        <v>5</v>
      </c>
      <c r="AG11" s="35">
        <f>IFERROR(__xludf.DUMMYFUNCTION("""COMPUTED_VALUE"""),5.0)</f>
        <v>5</v>
      </c>
      <c r="AH11" s="35">
        <f>IFERROR(__xludf.DUMMYFUNCTION("""COMPUTED_VALUE"""),5.0)</f>
        <v>5</v>
      </c>
      <c r="AI11" s="35">
        <f>IFERROR(__xludf.DUMMYFUNCTION("""COMPUTED_VALUE"""),5.0)</f>
        <v>5</v>
      </c>
      <c r="AJ11" s="35">
        <f>IFERROR(__xludf.DUMMYFUNCTION("""COMPUTED_VALUE"""),5.0)</f>
        <v>5</v>
      </c>
      <c r="AK11" s="35">
        <f>IFERROR(__xludf.DUMMYFUNCTION("""COMPUTED_VALUE"""),5.0)</f>
        <v>5</v>
      </c>
      <c r="AL11" s="35">
        <f>IFERROR(__xludf.DUMMYFUNCTION("""COMPUTED_VALUE"""),5.0)</f>
        <v>5</v>
      </c>
      <c r="AM11" s="35"/>
      <c r="AN11" s="36">
        <f>IFERROR(__xludf.DUMMYFUNCTION("""COMPUTED_VALUE"""),2.0)</f>
        <v>2</v>
      </c>
      <c r="AO11" s="22">
        <f>IFERROR(__xludf.DUMMYFUNCTION("""COMPUTED_VALUE"""),1.5)</f>
        <v>1.5</v>
      </c>
      <c r="AP11" s="22">
        <f>IFERROR(__xludf.DUMMYFUNCTION("""COMPUTED_VALUE"""),16.666666666666668)</f>
        <v>16.66666667</v>
      </c>
      <c r="AQ11" s="37">
        <f>IFERROR(__xludf.DUMMYFUNCTION("""COMPUTED_VALUE"""),20.25)</f>
        <v>20.25</v>
      </c>
    </row>
    <row r="12">
      <c r="A12" s="38">
        <f>IFERROR(__xludf.DUMMYFUNCTION("""COMPUTED_VALUE"""),2.0)</f>
        <v>2</v>
      </c>
      <c r="B12" s="39" t="str">
        <f>IFERROR(__xludf.DUMMYFUNCTION("""COMPUTED_VALUE"""),"24121352")</f>
        <v>24121352</v>
      </c>
      <c r="C12" s="38" t="str">
        <f>IFERROR(__xludf.DUMMYFUNCTION("""COMPUTED_VALUE"""),"MOHAMMAD ABU BAKAR SAMSUDDIN")</f>
        <v>MOHAMMAD ABU BAKAR SAMSUDDIN</v>
      </c>
      <c r="D12" s="40" t="str">
        <f>IFERROR(__xludf.DUMMYFUNCTION("""COMPUTED_VALUE"""),"EEE")</f>
        <v>EEE</v>
      </c>
      <c r="E12" s="40" t="str">
        <f>IFERROR(__xludf.DUMMYFUNCTION("""COMPUTED_VALUE"""),"abu.bakar.samsuddin@g.bracu.ac.bd")</f>
        <v>abu.bakar.samsuddin@g.bracu.ac.bd</v>
      </c>
      <c r="F12" s="41" t="str">
        <f>IFERROR(__xludf.DUMMYFUNCTION("""COMPUTED_VALUE"""),"01836212101")</f>
        <v>01836212101</v>
      </c>
      <c r="G12" s="42">
        <f>IFERROR(__xludf.DUMMYFUNCTION("""COMPUTED_VALUE"""),1.0)</f>
        <v>1</v>
      </c>
      <c r="H12" s="43">
        <f>IFERROR(__xludf.DUMMYFUNCTION("""COMPUTED_VALUE"""),0.9)</f>
        <v>0.9</v>
      </c>
      <c r="I12" s="44">
        <f>IFERROR(__xludf.DUMMYFUNCTION("""COMPUTED_VALUE"""),1.0)</f>
        <v>1</v>
      </c>
      <c r="J12" s="44"/>
      <c r="K12" s="44">
        <f>IFERROR(__xludf.DUMMYFUNCTION("""COMPUTED_VALUE"""),1.0)</f>
        <v>1</v>
      </c>
      <c r="L12" s="44">
        <f>IFERROR(__xludf.DUMMYFUNCTION("""COMPUTED_VALUE"""),5.0)</f>
        <v>5</v>
      </c>
      <c r="M12" s="44">
        <f>IFERROR(__xludf.DUMMYFUNCTION("""COMPUTED_VALUE"""),1.0)</f>
        <v>1</v>
      </c>
      <c r="N12" s="44">
        <f>IFERROR(__xludf.DUMMYFUNCTION("""COMPUTED_VALUE"""),5.0)</f>
        <v>5</v>
      </c>
      <c r="O12" s="44">
        <f>IFERROR(__xludf.DUMMYFUNCTION("""COMPUTED_VALUE"""),1.0)</f>
        <v>1</v>
      </c>
      <c r="P12" s="44"/>
      <c r="Q12" s="44">
        <f>IFERROR(__xludf.DUMMYFUNCTION("""COMPUTED_VALUE"""),1.0)</f>
        <v>1</v>
      </c>
      <c r="R12" s="44">
        <f>IFERROR(__xludf.DUMMYFUNCTION("""COMPUTED_VALUE"""),8.0)</f>
        <v>8</v>
      </c>
      <c r="S12" s="44">
        <f>IFERROR(__xludf.DUMMYFUNCTION("""COMPUTED_VALUE"""),1.0)</f>
        <v>1</v>
      </c>
      <c r="T12" s="44">
        <f>IFERROR(__xludf.DUMMYFUNCTION("""COMPUTED_VALUE"""),4.5)</f>
        <v>4.5</v>
      </c>
      <c r="U12" s="44"/>
      <c r="V12" s="44"/>
      <c r="W12" s="44">
        <f>IFERROR(__xludf.DUMMYFUNCTION("""COMPUTED_VALUE"""),1.0)</f>
        <v>1</v>
      </c>
      <c r="X12" s="44">
        <f>IFERROR(__xludf.DUMMYFUNCTION("""COMPUTED_VALUE"""),4.0)</f>
        <v>4</v>
      </c>
      <c r="Y12" s="44">
        <f>IFERROR(__xludf.DUMMYFUNCTION("""COMPUTED_VALUE"""),0.0)</f>
        <v>0</v>
      </c>
      <c r="Z12" s="44"/>
      <c r="AA12" s="44"/>
      <c r="AB12" s="44"/>
      <c r="AC12" s="44"/>
      <c r="AD12" s="44"/>
      <c r="AE12" s="44">
        <f>IFERROR(__xludf.DUMMYFUNCTION("""COMPUTED_VALUE"""),0.0)</f>
        <v>0</v>
      </c>
      <c r="AF12" s="44">
        <f>IFERROR(__xludf.DUMMYFUNCTION("""COMPUTED_VALUE"""),0.0)</f>
        <v>0</v>
      </c>
      <c r="AG12" s="44">
        <f>IFERROR(__xludf.DUMMYFUNCTION("""COMPUTED_VALUE"""),0.0)</f>
        <v>0</v>
      </c>
      <c r="AH12" s="44">
        <f>IFERROR(__xludf.DUMMYFUNCTION("""COMPUTED_VALUE"""),0.0)</f>
        <v>0</v>
      </c>
      <c r="AI12" s="44">
        <f>IFERROR(__xludf.DUMMYFUNCTION("""COMPUTED_VALUE"""),0.0)</f>
        <v>0</v>
      </c>
      <c r="AJ12" s="44">
        <f>IFERROR(__xludf.DUMMYFUNCTION("""COMPUTED_VALUE"""),0.0)</f>
        <v>0</v>
      </c>
      <c r="AK12" s="44">
        <f>IFERROR(__xludf.DUMMYFUNCTION("""COMPUTED_VALUE"""),0.0)</f>
        <v>0</v>
      </c>
      <c r="AL12" s="44">
        <f>IFERROR(__xludf.DUMMYFUNCTION("""COMPUTED_VALUE"""),0.0)</f>
        <v>0</v>
      </c>
      <c r="AM12" s="44"/>
      <c r="AN12" s="45">
        <f>IFERROR(__xludf.DUMMYFUNCTION("""COMPUTED_VALUE"""),0.0)</f>
        <v>0</v>
      </c>
      <c r="AO12" s="42">
        <f>IFERROR(__xludf.DUMMYFUNCTION("""COMPUTED_VALUE"""),2.85)</f>
        <v>2.85</v>
      </c>
      <c r="AP12" s="42">
        <f>IFERROR(__xludf.DUMMYFUNCTION("""COMPUTED_VALUE"""),11.333333333333334)</f>
        <v>11.33333333</v>
      </c>
      <c r="AQ12" s="46">
        <f>IFERROR(__xludf.DUMMYFUNCTION("""COMPUTED_VALUE"""),14.25)</f>
        <v>14.25</v>
      </c>
      <c r="AR12" s="40"/>
      <c r="AS12" s="40"/>
      <c r="AT12" s="40"/>
      <c r="AU12" s="40"/>
      <c r="AV12" s="40"/>
      <c r="AW12" s="40"/>
      <c r="AX12" s="40"/>
      <c r="AY12" s="40"/>
      <c r="AZ12" s="40"/>
      <c r="BA12" s="40"/>
    </row>
    <row r="13">
      <c r="A13" s="18">
        <f>IFERROR(__xludf.DUMMYFUNCTION("""COMPUTED_VALUE"""),3.0)</f>
        <v>3</v>
      </c>
      <c r="B13" s="32" t="str">
        <f>IFERROR(__xludf.DUMMYFUNCTION("""COMPUTED_VALUE"""),"24301371")</f>
        <v>24301371</v>
      </c>
      <c r="C13" s="18" t="str">
        <f>IFERROR(__xludf.DUMMYFUNCTION("""COMPUTED_VALUE"""),"ASHIKUR RAHMAN ASHIK")</f>
        <v>ASHIKUR RAHMAN ASHIK</v>
      </c>
      <c r="D13" s="15" t="str">
        <f>IFERROR(__xludf.DUMMYFUNCTION("""COMPUTED_VALUE"""),"CSE")</f>
        <v>CSE</v>
      </c>
      <c r="E13" s="15" t="str">
        <f>IFERROR(__xludf.DUMMYFUNCTION("""COMPUTED_VALUE"""),"ashikur.rahman.ashik@g.bracu.ac.bd")</f>
        <v>ashikur.rahman.ashik@g.bracu.ac.bd</v>
      </c>
      <c r="F13" s="33" t="str">
        <f>IFERROR(__xludf.DUMMYFUNCTION("""COMPUTED_VALUE"""),"01521777665")</f>
        <v>01521777665</v>
      </c>
      <c r="G13" s="22">
        <f>IFERROR(__xludf.DUMMYFUNCTION("""COMPUTED_VALUE"""),0.0)</f>
        <v>0</v>
      </c>
      <c r="H13" s="34">
        <f>IFERROR(__xludf.DUMMYFUNCTION("""COMPUTED_VALUE"""),1.0)</f>
        <v>1</v>
      </c>
      <c r="I13" s="35">
        <f>IFERROR(__xludf.DUMMYFUNCTION("""COMPUTED_VALUE"""),1.0)</f>
        <v>1</v>
      </c>
      <c r="J13" s="35"/>
      <c r="K13" s="35">
        <f>IFERROR(__xludf.DUMMYFUNCTION("""COMPUTED_VALUE"""),1.0)</f>
        <v>1</v>
      </c>
      <c r="L13" s="35">
        <f>IFERROR(__xludf.DUMMYFUNCTION("""COMPUTED_VALUE"""),5.0)</f>
        <v>5</v>
      </c>
      <c r="M13" s="35">
        <f>IFERROR(__xludf.DUMMYFUNCTION("""COMPUTED_VALUE"""),1.0)</f>
        <v>1</v>
      </c>
      <c r="N13" s="35">
        <f>IFERROR(__xludf.DUMMYFUNCTION("""COMPUTED_VALUE"""),10.0)</f>
        <v>10</v>
      </c>
      <c r="O13" s="35">
        <f>IFERROR(__xludf.DUMMYFUNCTION("""COMPUTED_VALUE"""),1.0)</f>
        <v>1</v>
      </c>
      <c r="P13" s="35"/>
      <c r="Q13" s="35">
        <f>IFERROR(__xludf.DUMMYFUNCTION("""COMPUTED_VALUE"""),1.0)</f>
        <v>1</v>
      </c>
      <c r="R13" s="35">
        <f>IFERROR(__xludf.DUMMYFUNCTION("""COMPUTED_VALUE"""),8.0)</f>
        <v>8</v>
      </c>
      <c r="S13" s="35">
        <f>IFERROR(__xludf.DUMMYFUNCTION("""COMPUTED_VALUE"""),1.0)</f>
        <v>1</v>
      </c>
      <c r="T13" s="35">
        <f>IFERROR(__xludf.DUMMYFUNCTION("""COMPUTED_VALUE"""),5.0)</f>
        <v>5</v>
      </c>
      <c r="U13" s="35">
        <f>IFERROR(__xludf.DUMMYFUNCTION("""COMPUTED_VALUE"""),1.0)</f>
        <v>1</v>
      </c>
      <c r="V13" s="35">
        <f>IFERROR(__xludf.DUMMYFUNCTION("""COMPUTED_VALUE"""),9.0)</f>
        <v>9</v>
      </c>
      <c r="W13" s="35">
        <f>IFERROR(__xludf.DUMMYFUNCTION("""COMPUTED_VALUE"""),1.0)</f>
        <v>1</v>
      </c>
      <c r="X13" s="35">
        <f>IFERROR(__xludf.DUMMYFUNCTION("""COMPUTED_VALUE"""),9.0)</f>
        <v>9</v>
      </c>
      <c r="Y13" s="35">
        <f>IFERROR(__xludf.DUMMYFUNCTION("""COMPUTED_VALUE"""),1.0)</f>
        <v>1</v>
      </c>
      <c r="Z13" s="35"/>
      <c r="AA13" s="35"/>
      <c r="AB13" s="35"/>
      <c r="AC13" s="35"/>
      <c r="AD13" s="35"/>
      <c r="AE13" s="35">
        <f>IFERROR(__xludf.DUMMYFUNCTION("""COMPUTED_VALUE"""),5.0)</f>
        <v>5</v>
      </c>
      <c r="AF13" s="35">
        <f>IFERROR(__xludf.DUMMYFUNCTION("""COMPUTED_VALUE"""),0.0)</f>
        <v>0</v>
      </c>
      <c r="AG13" s="35">
        <f>IFERROR(__xludf.DUMMYFUNCTION("""COMPUTED_VALUE"""),5.0)</f>
        <v>5</v>
      </c>
      <c r="AH13" s="35">
        <f>IFERROR(__xludf.DUMMYFUNCTION("""COMPUTED_VALUE"""),5.0)</f>
        <v>5</v>
      </c>
      <c r="AI13" s="35">
        <f>IFERROR(__xludf.DUMMYFUNCTION("""COMPUTED_VALUE"""),0.0)</f>
        <v>0</v>
      </c>
      <c r="AJ13" s="35">
        <f>IFERROR(__xludf.DUMMYFUNCTION("""COMPUTED_VALUE"""),0.0)</f>
        <v>0</v>
      </c>
      <c r="AK13" s="35">
        <f>IFERROR(__xludf.DUMMYFUNCTION("""COMPUTED_VALUE"""),5.0)</f>
        <v>5</v>
      </c>
      <c r="AL13" s="35">
        <f>IFERROR(__xludf.DUMMYFUNCTION("""COMPUTED_VALUE"""),5.0)</f>
        <v>5</v>
      </c>
      <c r="AM13" s="35"/>
      <c r="AN13" s="36">
        <f>IFERROR(__xludf.DUMMYFUNCTION("""COMPUTED_VALUE"""),1.25)</f>
        <v>1.25</v>
      </c>
      <c r="AO13" s="22">
        <f>IFERROR(__xludf.DUMMYFUNCTION("""COMPUTED_VALUE"""),3.0)</f>
        <v>3</v>
      </c>
      <c r="AP13" s="22">
        <f>IFERROR(__xludf.DUMMYFUNCTION("""COMPUTED_VALUE"""),18.666666666666668)</f>
        <v>18.66666667</v>
      </c>
      <c r="AQ13" s="37">
        <f>IFERROR(__xludf.DUMMYFUNCTION("""COMPUTED_VALUE"""),23.0)</f>
        <v>23</v>
      </c>
    </row>
    <row r="14">
      <c r="A14" s="18">
        <f>IFERROR(__xludf.DUMMYFUNCTION("""COMPUTED_VALUE"""),4.0)</f>
        <v>4</v>
      </c>
      <c r="B14" s="32" t="str">
        <f>IFERROR(__xludf.DUMMYFUNCTION("""COMPUTED_VALUE"""),"23201453")</f>
        <v>23201453</v>
      </c>
      <c r="C14" s="18" t="str">
        <f>IFERROR(__xludf.DUMMYFUNCTION("""COMPUTED_VALUE"""),"IFTAKHAR ISLAM SAGOR")</f>
        <v>IFTAKHAR ISLAM SAGOR</v>
      </c>
      <c r="D14" s="15" t="str">
        <f>IFERROR(__xludf.DUMMYFUNCTION("""COMPUTED_VALUE"""),"CSE")</f>
        <v>CSE</v>
      </c>
      <c r="E14" s="15" t="str">
        <f>IFERROR(__xludf.DUMMYFUNCTION("""COMPUTED_VALUE"""),"iftakhar.islam.sagor@g.bracu.ac.bd")</f>
        <v>iftakhar.islam.sagor@g.bracu.ac.bd</v>
      </c>
      <c r="F14" s="33" t="str">
        <f>IFERROR(__xludf.DUMMYFUNCTION("""COMPUTED_VALUE"""),"01940966447")</f>
        <v>01940966447</v>
      </c>
      <c r="G14" s="22">
        <f>IFERROR(__xludf.DUMMYFUNCTION("""COMPUTED_VALUE"""),0.0)</f>
        <v>0</v>
      </c>
      <c r="H14" s="34">
        <f>IFERROR(__xludf.DUMMYFUNCTION("""COMPUTED_VALUE"""),1.0)</f>
        <v>1</v>
      </c>
      <c r="I14" s="35">
        <f>IFERROR(__xludf.DUMMYFUNCTION("""COMPUTED_VALUE"""),1.0)</f>
        <v>1</v>
      </c>
      <c r="J14" s="35"/>
      <c r="K14" s="35">
        <f>IFERROR(__xludf.DUMMYFUNCTION("""COMPUTED_VALUE"""),1.0)</f>
        <v>1</v>
      </c>
      <c r="L14" s="35">
        <f>IFERROR(__xludf.DUMMYFUNCTION("""COMPUTED_VALUE"""),5.0)</f>
        <v>5</v>
      </c>
      <c r="M14" s="35">
        <f>IFERROR(__xludf.DUMMYFUNCTION("""COMPUTED_VALUE"""),1.0)</f>
        <v>1</v>
      </c>
      <c r="N14" s="35">
        <f>IFERROR(__xludf.DUMMYFUNCTION("""COMPUTED_VALUE"""),4.0)</f>
        <v>4</v>
      </c>
      <c r="O14" s="35">
        <f>IFERROR(__xludf.DUMMYFUNCTION("""COMPUTED_VALUE"""),1.0)</f>
        <v>1</v>
      </c>
      <c r="P14" s="35"/>
      <c r="Q14" s="35">
        <f>IFERROR(__xludf.DUMMYFUNCTION("""COMPUTED_VALUE"""),1.0)</f>
        <v>1</v>
      </c>
      <c r="R14" s="35">
        <f>IFERROR(__xludf.DUMMYFUNCTION("""COMPUTED_VALUE"""),5.0)</f>
        <v>5</v>
      </c>
      <c r="S14" s="35">
        <f>IFERROR(__xludf.DUMMYFUNCTION("""COMPUTED_VALUE"""),1.0)</f>
        <v>1</v>
      </c>
      <c r="T14" s="35">
        <f>IFERROR(__xludf.DUMMYFUNCTION("""COMPUTED_VALUE"""),4.5)</f>
        <v>4.5</v>
      </c>
      <c r="U14" s="35">
        <f>IFERROR(__xludf.DUMMYFUNCTION("""COMPUTED_VALUE"""),1.0)</f>
        <v>1</v>
      </c>
      <c r="V14" s="35">
        <f>IFERROR(__xludf.DUMMYFUNCTION("""COMPUTED_VALUE"""),4.0)</f>
        <v>4</v>
      </c>
      <c r="W14" s="35">
        <f>IFERROR(__xludf.DUMMYFUNCTION("""COMPUTED_VALUE"""),1.0)</f>
        <v>1</v>
      </c>
      <c r="X14" s="35">
        <f>IFERROR(__xludf.DUMMYFUNCTION("""COMPUTED_VALUE"""),7.0)</f>
        <v>7</v>
      </c>
      <c r="Y14" s="35">
        <f>IFERROR(__xludf.DUMMYFUNCTION("""COMPUTED_VALUE"""),1.0)</f>
        <v>1</v>
      </c>
      <c r="Z14" s="35"/>
      <c r="AA14" s="35"/>
      <c r="AB14" s="35"/>
      <c r="AC14" s="35"/>
      <c r="AD14" s="35"/>
      <c r="AE14" s="35">
        <f>IFERROR(__xludf.DUMMYFUNCTION("""COMPUTED_VALUE"""),5.0)</f>
        <v>5</v>
      </c>
      <c r="AF14" s="35">
        <f>IFERROR(__xludf.DUMMYFUNCTION("""COMPUTED_VALUE"""),5.0)</f>
        <v>5</v>
      </c>
      <c r="AG14" s="35">
        <f>IFERROR(__xludf.DUMMYFUNCTION("""COMPUTED_VALUE"""),5.0)</f>
        <v>5</v>
      </c>
      <c r="AH14" s="35">
        <f>IFERROR(__xludf.DUMMYFUNCTION("""COMPUTED_VALUE"""),5.0)</f>
        <v>5</v>
      </c>
      <c r="AI14" s="35">
        <f>IFERROR(__xludf.DUMMYFUNCTION("""COMPUTED_VALUE"""),5.0)</f>
        <v>5</v>
      </c>
      <c r="AJ14" s="35">
        <f>IFERROR(__xludf.DUMMYFUNCTION("""COMPUTED_VALUE"""),5.0)</f>
        <v>5</v>
      </c>
      <c r="AK14" s="35">
        <f>IFERROR(__xludf.DUMMYFUNCTION("""COMPUTED_VALUE"""),5.0)</f>
        <v>5</v>
      </c>
      <c r="AL14" s="35">
        <f>IFERROR(__xludf.DUMMYFUNCTION("""COMPUTED_VALUE"""),5.0)</f>
        <v>5</v>
      </c>
      <c r="AM14" s="35"/>
      <c r="AN14" s="36">
        <f>IFERROR(__xludf.DUMMYFUNCTION("""COMPUTED_VALUE"""),2.0)</f>
        <v>2</v>
      </c>
      <c r="AO14" s="22">
        <f>IFERROR(__xludf.DUMMYFUNCTION("""COMPUTED_VALUE"""),2.85)</f>
        <v>2.85</v>
      </c>
      <c r="AP14" s="22">
        <f>IFERROR(__xludf.DUMMYFUNCTION("""COMPUTED_VALUE"""),10.666666666666666)</f>
        <v>10.66666667</v>
      </c>
      <c r="AQ14" s="37">
        <f>IFERROR(__xludf.DUMMYFUNCTION("""COMPUTED_VALUE"""),15.75)</f>
        <v>15.75</v>
      </c>
    </row>
    <row r="15">
      <c r="A15" s="18">
        <f>IFERROR(__xludf.DUMMYFUNCTION("""COMPUTED_VALUE"""),5.0)</f>
        <v>5</v>
      </c>
      <c r="B15" s="32" t="str">
        <f>IFERROR(__xludf.DUMMYFUNCTION("""COMPUTED_VALUE"""),"24101054")</f>
        <v>24101054</v>
      </c>
      <c r="C15" s="18" t="str">
        <f>IFERROR(__xludf.DUMMYFUNCTION("""COMPUTED_VALUE"""),"TANSIV HAQUE SHOHEL")</f>
        <v>TANSIV HAQUE SHOHEL</v>
      </c>
      <c r="D15" s="15" t="str">
        <f>IFERROR(__xludf.DUMMYFUNCTION("""COMPUTED_VALUE"""),"CSE")</f>
        <v>CSE</v>
      </c>
      <c r="E15" s="15" t="str">
        <f>IFERROR(__xludf.DUMMYFUNCTION("""COMPUTED_VALUE"""),"tansiv.haque.shohel@g.bracu.ac.bd")</f>
        <v>tansiv.haque.shohel@g.bracu.ac.bd</v>
      </c>
      <c r="F15" s="33" t="str">
        <f>IFERROR(__xludf.DUMMYFUNCTION("""COMPUTED_VALUE"""),"01310228162")</f>
        <v>01310228162</v>
      </c>
      <c r="G15" s="22">
        <f>IFERROR(__xludf.DUMMYFUNCTION("""COMPUTED_VALUE"""),0.0)</f>
        <v>0</v>
      </c>
      <c r="H15" s="34">
        <f>IFERROR(__xludf.DUMMYFUNCTION("""COMPUTED_VALUE"""),1.0)</f>
        <v>1</v>
      </c>
      <c r="I15" s="35">
        <f>IFERROR(__xludf.DUMMYFUNCTION("""COMPUTED_VALUE"""),1.0)</f>
        <v>1</v>
      </c>
      <c r="J15" s="35"/>
      <c r="K15" s="35">
        <f>IFERROR(__xludf.DUMMYFUNCTION("""COMPUTED_VALUE"""),1.0)</f>
        <v>1</v>
      </c>
      <c r="L15" s="35">
        <f>IFERROR(__xludf.DUMMYFUNCTION("""COMPUTED_VALUE"""),5.0)</f>
        <v>5</v>
      </c>
      <c r="M15" s="35">
        <f>IFERROR(__xludf.DUMMYFUNCTION("""COMPUTED_VALUE"""),1.0)</f>
        <v>1</v>
      </c>
      <c r="N15" s="35">
        <f>IFERROR(__xludf.DUMMYFUNCTION("""COMPUTED_VALUE"""),5.0)</f>
        <v>5</v>
      </c>
      <c r="O15" s="35">
        <f>IFERROR(__xludf.DUMMYFUNCTION("""COMPUTED_VALUE"""),1.0)</f>
        <v>1</v>
      </c>
      <c r="P15" s="35"/>
      <c r="Q15" s="35">
        <f>IFERROR(__xludf.DUMMYFUNCTION("""COMPUTED_VALUE"""),1.0)</f>
        <v>1</v>
      </c>
      <c r="R15" s="35">
        <f>IFERROR(__xludf.DUMMYFUNCTION("""COMPUTED_VALUE"""),9.0)</f>
        <v>9</v>
      </c>
      <c r="S15" s="35">
        <f>IFERROR(__xludf.DUMMYFUNCTION("""COMPUTED_VALUE"""),1.0)</f>
        <v>1</v>
      </c>
      <c r="T15" s="35">
        <f>IFERROR(__xludf.DUMMYFUNCTION("""COMPUTED_VALUE"""),5.0)</f>
        <v>5</v>
      </c>
      <c r="U15" s="35">
        <f>IFERROR(__xludf.DUMMYFUNCTION("""COMPUTED_VALUE"""),1.0)</f>
        <v>1</v>
      </c>
      <c r="V15" s="35">
        <f>IFERROR(__xludf.DUMMYFUNCTION("""COMPUTED_VALUE"""),4.0)</f>
        <v>4</v>
      </c>
      <c r="W15" s="35"/>
      <c r="X15" s="35"/>
      <c r="Y15" s="35">
        <f>IFERROR(__xludf.DUMMYFUNCTION("""COMPUTED_VALUE"""),1.0)</f>
        <v>1</v>
      </c>
      <c r="Z15" s="35"/>
      <c r="AA15" s="35"/>
      <c r="AB15" s="35"/>
      <c r="AC15" s="35"/>
      <c r="AD15" s="35"/>
      <c r="AE15" s="35">
        <f>IFERROR(__xludf.DUMMYFUNCTION("""COMPUTED_VALUE"""),5.0)</f>
        <v>5</v>
      </c>
      <c r="AF15" s="35">
        <f>IFERROR(__xludf.DUMMYFUNCTION("""COMPUTED_VALUE"""),5.0)</f>
        <v>5</v>
      </c>
      <c r="AG15" s="35">
        <f>IFERROR(__xludf.DUMMYFUNCTION("""COMPUTED_VALUE"""),0.0)</f>
        <v>0</v>
      </c>
      <c r="AH15" s="35">
        <f>IFERROR(__xludf.DUMMYFUNCTION("""COMPUTED_VALUE"""),5.0)</f>
        <v>5</v>
      </c>
      <c r="AI15" s="35">
        <f>IFERROR(__xludf.DUMMYFUNCTION("""COMPUTED_VALUE"""),5.0)</f>
        <v>5</v>
      </c>
      <c r="AJ15" s="35">
        <f>IFERROR(__xludf.DUMMYFUNCTION("""COMPUTED_VALUE"""),5.0)</f>
        <v>5</v>
      </c>
      <c r="AK15" s="35">
        <f>IFERROR(__xludf.DUMMYFUNCTION("""COMPUTED_VALUE"""),5.0)</f>
        <v>5</v>
      </c>
      <c r="AL15" s="35">
        <f>IFERROR(__xludf.DUMMYFUNCTION("""COMPUTED_VALUE"""),5.0)</f>
        <v>5</v>
      </c>
      <c r="AM15" s="35"/>
      <c r="AN15" s="36">
        <f>IFERROR(__xludf.DUMMYFUNCTION("""COMPUTED_VALUE"""),1.75)</f>
        <v>1.75</v>
      </c>
      <c r="AO15" s="22">
        <f>IFERROR(__xludf.DUMMYFUNCTION("""COMPUTED_VALUE"""),3.0)</f>
        <v>3</v>
      </c>
      <c r="AP15" s="22">
        <f>IFERROR(__xludf.DUMMYFUNCTION("""COMPUTED_VALUE"""),12.0)</f>
        <v>12</v>
      </c>
      <c r="AQ15" s="37">
        <f>IFERROR(__xludf.DUMMYFUNCTION("""COMPUTED_VALUE"""),16.75)</f>
        <v>16.75</v>
      </c>
    </row>
    <row r="16">
      <c r="A16" s="18">
        <f>IFERROR(__xludf.DUMMYFUNCTION("""COMPUTED_VALUE"""),6.0)</f>
        <v>6</v>
      </c>
      <c r="B16" s="32" t="str">
        <f>IFERROR(__xludf.DUMMYFUNCTION("""COMPUTED_VALUE"""),"24321140")</f>
        <v>24321140</v>
      </c>
      <c r="C16" s="18" t="str">
        <f>IFERROR(__xludf.DUMMYFUNCTION("""COMPUTED_VALUE"""),"MD. RAFSAN NAFI")</f>
        <v>MD. RAFSAN NAFI</v>
      </c>
      <c r="D16" s="15" t="str">
        <f>IFERROR(__xludf.DUMMYFUNCTION("""COMPUTED_VALUE"""),"EEE")</f>
        <v>EEE</v>
      </c>
      <c r="E16" s="15" t="str">
        <f>IFERROR(__xludf.DUMMYFUNCTION("""COMPUTED_VALUE"""),"md.rafsan.nafi@g.bracu.ac.bd")</f>
        <v>md.rafsan.nafi@g.bracu.ac.bd</v>
      </c>
      <c r="F16" s="33" t="str">
        <f>IFERROR(__xludf.DUMMYFUNCTION("""COMPUTED_VALUE"""),"01894214263")</f>
        <v>01894214263</v>
      </c>
      <c r="G16" s="22">
        <f>IFERROR(__xludf.DUMMYFUNCTION("""COMPUTED_VALUE"""),0.0)</f>
        <v>0</v>
      </c>
      <c r="H16" s="34">
        <f>IFERROR(__xludf.DUMMYFUNCTION("""COMPUTED_VALUE"""),1.0)</f>
        <v>1</v>
      </c>
      <c r="I16" s="35">
        <f>IFERROR(__xludf.DUMMYFUNCTION("""COMPUTED_VALUE"""),1.0)</f>
        <v>1</v>
      </c>
      <c r="J16" s="35"/>
      <c r="K16" s="35">
        <f>IFERROR(__xludf.DUMMYFUNCTION("""COMPUTED_VALUE"""),1.0)</f>
        <v>1</v>
      </c>
      <c r="L16" s="35">
        <f>IFERROR(__xludf.DUMMYFUNCTION("""COMPUTED_VALUE"""),5.0)</f>
        <v>5</v>
      </c>
      <c r="M16" s="35">
        <f>IFERROR(__xludf.DUMMYFUNCTION("""COMPUTED_VALUE"""),1.0)</f>
        <v>1</v>
      </c>
      <c r="N16" s="35">
        <f>IFERROR(__xludf.DUMMYFUNCTION("""COMPUTED_VALUE"""),3.0)</f>
        <v>3</v>
      </c>
      <c r="O16" s="35">
        <f>IFERROR(__xludf.DUMMYFUNCTION("""COMPUTED_VALUE"""),1.0)</f>
        <v>1</v>
      </c>
      <c r="P16" s="35"/>
      <c r="Q16" s="35">
        <f>IFERROR(__xludf.DUMMYFUNCTION("""COMPUTED_VALUE"""),1.0)</f>
        <v>1</v>
      </c>
      <c r="R16" s="35">
        <f>IFERROR(__xludf.DUMMYFUNCTION("""COMPUTED_VALUE"""),8.0)</f>
        <v>8</v>
      </c>
      <c r="S16" s="35">
        <f>IFERROR(__xludf.DUMMYFUNCTION("""COMPUTED_VALUE"""),1.0)</f>
        <v>1</v>
      </c>
      <c r="T16" s="35">
        <f>IFERROR(__xludf.DUMMYFUNCTION("""COMPUTED_VALUE"""),5.0)</f>
        <v>5</v>
      </c>
      <c r="U16" s="35">
        <f>IFERROR(__xludf.DUMMYFUNCTION("""COMPUTED_VALUE"""),1.0)</f>
        <v>1</v>
      </c>
      <c r="V16" s="35">
        <f>IFERROR(__xludf.DUMMYFUNCTION("""COMPUTED_VALUE"""),7.0)</f>
        <v>7</v>
      </c>
      <c r="W16" s="35">
        <f>IFERROR(__xludf.DUMMYFUNCTION("""COMPUTED_VALUE"""),1.0)</f>
        <v>1</v>
      </c>
      <c r="X16" s="35">
        <f>IFERROR(__xludf.DUMMYFUNCTION("""COMPUTED_VALUE"""),7.0)</f>
        <v>7</v>
      </c>
      <c r="Y16" s="35">
        <f>IFERROR(__xludf.DUMMYFUNCTION("""COMPUTED_VALUE"""),1.0)</f>
        <v>1</v>
      </c>
      <c r="Z16" s="35"/>
      <c r="AA16" s="35"/>
      <c r="AB16" s="35"/>
      <c r="AC16" s="35"/>
      <c r="AD16" s="35"/>
      <c r="AE16" s="35">
        <f>IFERROR(__xludf.DUMMYFUNCTION("""COMPUTED_VALUE"""),5.0)</f>
        <v>5</v>
      </c>
      <c r="AF16" s="35">
        <f>IFERROR(__xludf.DUMMYFUNCTION("""COMPUTED_VALUE"""),5.0)</f>
        <v>5</v>
      </c>
      <c r="AG16" s="35">
        <f>IFERROR(__xludf.DUMMYFUNCTION("""COMPUTED_VALUE"""),5.0)</f>
        <v>5</v>
      </c>
      <c r="AH16" s="35">
        <f>IFERROR(__xludf.DUMMYFUNCTION("""COMPUTED_VALUE"""),5.0)</f>
        <v>5</v>
      </c>
      <c r="AI16" s="35">
        <f>IFERROR(__xludf.DUMMYFUNCTION("""COMPUTED_VALUE"""),0.0)</f>
        <v>0</v>
      </c>
      <c r="AJ16" s="35">
        <f>IFERROR(__xludf.DUMMYFUNCTION("""COMPUTED_VALUE"""),5.0)</f>
        <v>5</v>
      </c>
      <c r="AK16" s="35">
        <f>IFERROR(__xludf.DUMMYFUNCTION("""COMPUTED_VALUE"""),5.0)</f>
        <v>5</v>
      </c>
      <c r="AL16" s="35">
        <f>IFERROR(__xludf.DUMMYFUNCTION("""COMPUTED_VALUE"""),0.0)</f>
        <v>0</v>
      </c>
      <c r="AM16" s="35"/>
      <c r="AN16" s="36">
        <f>IFERROR(__xludf.DUMMYFUNCTION("""COMPUTED_VALUE"""),1.5)</f>
        <v>1.5</v>
      </c>
      <c r="AO16" s="22">
        <f>IFERROR(__xludf.DUMMYFUNCTION("""COMPUTED_VALUE"""),3.0)</f>
        <v>3</v>
      </c>
      <c r="AP16" s="22">
        <f>IFERROR(__xludf.DUMMYFUNCTION("""COMPUTED_VALUE"""),14.666666666666666)</f>
        <v>14.66666667</v>
      </c>
      <c r="AQ16" s="37">
        <f>IFERROR(__xludf.DUMMYFUNCTION("""COMPUTED_VALUE"""),19.25)</f>
        <v>19.25</v>
      </c>
    </row>
    <row r="17">
      <c r="A17" s="18">
        <f>IFERROR(__xludf.DUMMYFUNCTION("""COMPUTED_VALUE"""),7.0)</f>
        <v>7</v>
      </c>
      <c r="B17" s="32" t="str">
        <f>IFERROR(__xludf.DUMMYFUNCTION("""COMPUTED_VALUE"""),"24304178")</f>
        <v>24304178</v>
      </c>
      <c r="C17" s="18" t="str">
        <f>IFERROR(__xludf.DUMMYFUNCTION("""COMPUTED_VALUE"""),"SALSABILA KHAN RITHMY")</f>
        <v>SALSABILA KHAN RITHMY</v>
      </c>
      <c r="D17" s="15" t="str">
        <f>IFERROR(__xludf.DUMMYFUNCTION("""COMPUTED_VALUE"""),"BBA")</f>
        <v>BBA</v>
      </c>
      <c r="E17" s="15" t="str">
        <f>IFERROR(__xludf.DUMMYFUNCTION("""COMPUTED_VALUE"""),"salsabila.khan.rithmy@g.bracu.ac.bd")</f>
        <v>salsabila.khan.rithmy@g.bracu.ac.bd</v>
      </c>
      <c r="F17" s="33" t="str">
        <f>IFERROR(__xludf.DUMMYFUNCTION("""COMPUTED_VALUE"""),"01927718910")</f>
        <v>01927718910</v>
      </c>
      <c r="G17" s="22">
        <f>IFERROR(__xludf.DUMMYFUNCTION("""COMPUTED_VALUE"""),0.0)</f>
        <v>0</v>
      </c>
      <c r="H17" s="34">
        <f>IFERROR(__xludf.DUMMYFUNCTION("""COMPUTED_VALUE"""),1.0)</f>
        <v>1</v>
      </c>
      <c r="I17" s="35">
        <f>IFERROR(__xludf.DUMMYFUNCTION("""COMPUTED_VALUE"""),1.0)</f>
        <v>1</v>
      </c>
      <c r="J17" s="35"/>
      <c r="K17" s="35">
        <f>IFERROR(__xludf.DUMMYFUNCTION("""COMPUTED_VALUE"""),1.0)</f>
        <v>1</v>
      </c>
      <c r="L17" s="35">
        <f>IFERROR(__xludf.DUMMYFUNCTION("""COMPUTED_VALUE"""),5.0)</f>
        <v>5</v>
      </c>
      <c r="M17" s="35">
        <f>IFERROR(__xludf.DUMMYFUNCTION("""COMPUTED_VALUE"""),1.0)</f>
        <v>1</v>
      </c>
      <c r="N17" s="35">
        <f>IFERROR(__xludf.DUMMYFUNCTION("""COMPUTED_VALUE"""),6.0)</f>
        <v>6</v>
      </c>
      <c r="O17" s="35">
        <f>IFERROR(__xludf.DUMMYFUNCTION("""COMPUTED_VALUE"""),1.0)</f>
        <v>1</v>
      </c>
      <c r="P17" s="35"/>
      <c r="Q17" s="35">
        <f>IFERROR(__xludf.DUMMYFUNCTION("""COMPUTED_VALUE"""),1.0)</f>
        <v>1</v>
      </c>
      <c r="R17" s="35">
        <f>IFERROR(__xludf.DUMMYFUNCTION("""COMPUTED_VALUE"""),6.0)</f>
        <v>6</v>
      </c>
      <c r="S17" s="35">
        <f>IFERROR(__xludf.DUMMYFUNCTION("""COMPUTED_VALUE"""),1.0)</f>
        <v>1</v>
      </c>
      <c r="T17" s="35">
        <f>IFERROR(__xludf.DUMMYFUNCTION("""COMPUTED_VALUE"""),5.0)</f>
        <v>5</v>
      </c>
      <c r="U17" s="35">
        <f>IFERROR(__xludf.DUMMYFUNCTION("""COMPUTED_VALUE"""),1.0)</f>
        <v>1</v>
      </c>
      <c r="V17" s="35">
        <f>IFERROR(__xludf.DUMMYFUNCTION("""COMPUTED_VALUE"""),4.0)</f>
        <v>4</v>
      </c>
      <c r="W17" s="35"/>
      <c r="X17" s="35"/>
      <c r="Y17" s="35">
        <f>IFERROR(__xludf.DUMMYFUNCTION("""COMPUTED_VALUE"""),1.0)</f>
        <v>1</v>
      </c>
      <c r="Z17" s="35"/>
      <c r="AA17" s="35"/>
      <c r="AB17" s="35"/>
      <c r="AC17" s="35"/>
      <c r="AD17" s="35"/>
      <c r="AE17" s="35">
        <f>IFERROR(__xludf.DUMMYFUNCTION("""COMPUTED_VALUE"""),5.0)</f>
        <v>5</v>
      </c>
      <c r="AF17" s="35">
        <f>IFERROR(__xludf.DUMMYFUNCTION("""COMPUTED_VALUE"""),5.0)</f>
        <v>5</v>
      </c>
      <c r="AG17" s="35">
        <f>IFERROR(__xludf.DUMMYFUNCTION("""COMPUTED_VALUE"""),5.0)</f>
        <v>5</v>
      </c>
      <c r="AH17" s="35">
        <f>IFERROR(__xludf.DUMMYFUNCTION("""COMPUTED_VALUE"""),5.0)</f>
        <v>5</v>
      </c>
      <c r="AI17" s="35">
        <f>IFERROR(__xludf.DUMMYFUNCTION("""COMPUTED_VALUE"""),5.0)</f>
        <v>5</v>
      </c>
      <c r="AJ17" s="35">
        <f>IFERROR(__xludf.DUMMYFUNCTION("""COMPUTED_VALUE"""),5.0)</f>
        <v>5</v>
      </c>
      <c r="AK17" s="35">
        <f>IFERROR(__xludf.DUMMYFUNCTION("""COMPUTED_VALUE"""),5.0)</f>
        <v>5</v>
      </c>
      <c r="AL17" s="35">
        <f>IFERROR(__xludf.DUMMYFUNCTION("""COMPUTED_VALUE"""),5.0)</f>
        <v>5</v>
      </c>
      <c r="AM17" s="35"/>
      <c r="AN17" s="36">
        <f>IFERROR(__xludf.DUMMYFUNCTION("""COMPUTED_VALUE"""),2.0)</f>
        <v>2</v>
      </c>
      <c r="AO17" s="22">
        <f>IFERROR(__xludf.DUMMYFUNCTION("""COMPUTED_VALUE"""),3.0)</f>
        <v>3</v>
      </c>
      <c r="AP17" s="22">
        <f>IFERROR(__xludf.DUMMYFUNCTION("""COMPUTED_VALUE"""),10.666666666666666)</f>
        <v>10.66666667</v>
      </c>
      <c r="AQ17" s="37">
        <f>IFERROR(__xludf.DUMMYFUNCTION("""COMPUTED_VALUE"""),15.75)</f>
        <v>15.75</v>
      </c>
    </row>
    <row r="18">
      <c r="A18" s="18">
        <f>IFERROR(__xludf.DUMMYFUNCTION("""COMPUTED_VALUE"""),8.0)</f>
        <v>8</v>
      </c>
      <c r="B18" s="32" t="str">
        <f>IFERROR(__xludf.DUMMYFUNCTION("""COMPUTED_VALUE"""),"1000054182")</f>
        <v>1000054182</v>
      </c>
      <c r="C18" s="18" t="str">
        <f>IFERROR(__xludf.DUMMYFUNCTION("""COMPUTED_VALUE"""),"Md Shishir Anwer")</f>
        <v>Md Shishir Anwer</v>
      </c>
      <c r="D18" s="15" t="str">
        <f>IFERROR(__xludf.DUMMYFUNCTION("""COMPUTED_VALUE"""),"CSE")</f>
        <v>CSE</v>
      </c>
      <c r="E18" s="15" t="str">
        <f>IFERROR(__xludf.DUMMYFUNCTION("""COMPUTED_VALUE"""),"shishiranwer002@gmail.com")</f>
        <v>shishiranwer002@gmail.com</v>
      </c>
      <c r="F18" s="33">
        <f>IFERROR(__xludf.DUMMYFUNCTION("""COMPUTED_VALUE"""),8.801641113922E12)</f>
        <v>8801641113922</v>
      </c>
      <c r="G18" s="22">
        <f>IFERROR(__xludf.DUMMYFUNCTION("""COMPUTED_VALUE"""),0.0)</f>
        <v>0</v>
      </c>
      <c r="H18" s="34">
        <f>IFERROR(__xludf.DUMMYFUNCTION("""COMPUTED_VALUE"""),1.0)</f>
        <v>1</v>
      </c>
      <c r="I18" s="35">
        <f>IFERROR(__xludf.DUMMYFUNCTION("""COMPUTED_VALUE"""),1.0)</f>
        <v>1</v>
      </c>
      <c r="J18" s="35"/>
      <c r="K18" s="35">
        <f>IFERROR(__xludf.DUMMYFUNCTION("""COMPUTED_VALUE"""),1.0)</f>
        <v>1</v>
      </c>
      <c r="L18" s="35">
        <f>IFERROR(__xludf.DUMMYFUNCTION("""COMPUTED_VALUE"""),4.0)</f>
        <v>4</v>
      </c>
      <c r="M18" s="35">
        <f>IFERROR(__xludf.DUMMYFUNCTION("""COMPUTED_VALUE"""),1.0)</f>
        <v>1</v>
      </c>
      <c r="N18" s="35">
        <f>IFERROR(__xludf.DUMMYFUNCTION("""COMPUTED_VALUE"""),10.0)</f>
        <v>10</v>
      </c>
      <c r="O18" s="35">
        <f>IFERROR(__xludf.DUMMYFUNCTION("""COMPUTED_VALUE"""),1.0)</f>
        <v>1</v>
      </c>
      <c r="P18" s="35"/>
      <c r="Q18" s="35">
        <f>IFERROR(__xludf.DUMMYFUNCTION("""COMPUTED_VALUE"""),1.0)</f>
        <v>1</v>
      </c>
      <c r="R18" s="35">
        <f>IFERROR(__xludf.DUMMYFUNCTION("""COMPUTED_VALUE"""),10.0)</f>
        <v>10</v>
      </c>
      <c r="S18" s="35">
        <f>IFERROR(__xludf.DUMMYFUNCTION("""COMPUTED_VALUE"""),1.0)</f>
        <v>1</v>
      </c>
      <c r="T18" s="35">
        <f>IFERROR(__xludf.DUMMYFUNCTION("""COMPUTED_VALUE"""),5.0)</f>
        <v>5</v>
      </c>
      <c r="U18" s="35">
        <f>IFERROR(__xludf.DUMMYFUNCTION("""COMPUTED_VALUE"""),1.0)</f>
        <v>1</v>
      </c>
      <c r="V18" s="35">
        <f>IFERROR(__xludf.DUMMYFUNCTION("""COMPUTED_VALUE"""),9.0)</f>
        <v>9</v>
      </c>
      <c r="W18" s="35">
        <f>IFERROR(__xludf.DUMMYFUNCTION("""COMPUTED_VALUE"""),1.0)</f>
        <v>1</v>
      </c>
      <c r="X18" s="35">
        <f>IFERROR(__xludf.DUMMYFUNCTION("""COMPUTED_VALUE"""),2.0)</f>
        <v>2</v>
      </c>
      <c r="Y18" s="35">
        <f>IFERROR(__xludf.DUMMYFUNCTION("""COMPUTED_VALUE"""),1.0)</f>
        <v>1</v>
      </c>
      <c r="Z18" s="35"/>
      <c r="AA18" s="35"/>
      <c r="AB18" s="35"/>
      <c r="AC18" s="35"/>
      <c r="AD18" s="35"/>
      <c r="AE18" s="35">
        <f>IFERROR(__xludf.DUMMYFUNCTION("""COMPUTED_VALUE"""),5.0)</f>
        <v>5</v>
      </c>
      <c r="AF18" s="35">
        <f>IFERROR(__xludf.DUMMYFUNCTION("""COMPUTED_VALUE"""),5.0)</f>
        <v>5</v>
      </c>
      <c r="AG18" s="35">
        <f>IFERROR(__xludf.DUMMYFUNCTION("""COMPUTED_VALUE"""),5.0)</f>
        <v>5</v>
      </c>
      <c r="AH18" s="35">
        <f>IFERROR(__xludf.DUMMYFUNCTION("""COMPUTED_VALUE"""),0.0)</f>
        <v>0</v>
      </c>
      <c r="AI18" s="35">
        <f>IFERROR(__xludf.DUMMYFUNCTION("""COMPUTED_VALUE"""),5.0)</f>
        <v>5</v>
      </c>
      <c r="AJ18" s="35">
        <f>IFERROR(__xludf.DUMMYFUNCTION("""COMPUTED_VALUE"""),0.0)</f>
        <v>0</v>
      </c>
      <c r="AK18" s="35">
        <f>IFERROR(__xludf.DUMMYFUNCTION("""COMPUTED_VALUE"""),5.0)</f>
        <v>5</v>
      </c>
      <c r="AL18" s="35">
        <f>IFERROR(__xludf.DUMMYFUNCTION("""COMPUTED_VALUE"""),5.0)</f>
        <v>5</v>
      </c>
      <c r="AM18" s="35"/>
      <c r="AN18" s="36">
        <f>IFERROR(__xludf.DUMMYFUNCTION("""COMPUTED_VALUE"""),1.5)</f>
        <v>1.5</v>
      </c>
      <c r="AO18" s="22">
        <f>IFERROR(__xludf.DUMMYFUNCTION("""COMPUTED_VALUE"""),2.7)</f>
        <v>2.7</v>
      </c>
      <c r="AP18" s="22">
        <f>IFERROR(__xludf.DUMMYFUNCTION("""COMPUTED_VALUE"""),19.333333333333332)</f>
        <v>19.33333333</v>
      </c>
      <c r="AQ18" s="37">
        <f>IFERROR(__xludf.DUMMYFUNCTION("""COMPUTED_VALUE"""),23.75)</f>
        <v>23.75</v>
      </c>
    </row>
    <row r="19">
      <c r="A19" s="18">
        <f>IFERROR(__xludf.DUMMYFUNCTION("""COMPUTED_VALUE"""),9.0)</f>
        <v>9</v>
      </c>
      <c r="B19" s="32" t="str">
        <f>IFERROR(__xludf.DUMMYFUNCTION("""COMPUTED_VALUE"""),"1000054904")</f>
        <v>1000054904</v>
      </c>
      <c r="C19" s="18" t="str">
        <f>IFERROR(__xludf.DUMMYFUNCTION("""COMPUTED_VALUE"""),"Ahsanul Hossain Ratin")</f>
        <v>Ahsanul Hossain Ratin</v>
      </c>
      <c r="D19" s="15" t="str">
        <f>IFERROR(__xludf.DUMMYFUNCTION("""COMPUTED_VALUE"""),"CSE")</f>
        <v>CSE</v>
      </c>
      <c r="E19" s="15" t="str">
        <f>IFERROR(__xludf.DUMMYFUNCTION("""COMPUTED_VALUE"""),"ahsanulhossainratin@gmail.com")</f>
        <v>ahsanulhossainratin@gmail.com</v>
      </c>
      <c r="F19" s="33">
        <f>IFERROR(__xludf.DUMMYFUNCTION("""COMPUTED_VALUE"""),8.801577057811E12)</f>
        <v>8801577057811</v>
      </c>
      <c r="G19" s="22">
        <f>IFERROR(__xludf.DUMMYFUNCTION("""COMPUTED_VALUE"""),1.0)</f>
        <v>1</v>
      </c>
      <c r="H19" s="34">
        <f>IFERROR(__xludf.DUMMYFUNCTION("""COMPUTED_VALUE"""),0.9)</f>
        <v>0.9</v>
      </c>
      <c r="I19" s="35">
        <f>IFERROR(__xludf.DUMMYFUNCTION("""COMPUTED_VALUE"""),1.0)</f>
        <v>1</v>
      </c>
      <c r="J19" s="35"/>
      <c r="K19" s="35">
        <f>IFERROR(__xludf.DUMMYFUNCTION("""COMPUTED_VALUE"""),1.0)</f>
        <v>1</v>
      </c>
      <c r="L19" s="35">
        <f>IFERROR(__xludf.DUMMYFUNCTION("""COMPUTED_VALUE"""),5.0)</f>
        <v>5</v>
      </c>
      <c r="M19" s="35">
        <f>IFERROR(__xludf.DUMMYFUNCTION("""COMPUTED_VALUE"""),1.0)</f>
        <v>1</v>
      </c>
      <c r="N19" s="35">
        <f>IFERROR(__xludf.DUMMYFUNCTION("""COMPUTED_VALUE"""),6.0)</f>
        <v>6</v>
      </c>
      <c r="O19" s="35">
        <f>IFERROR(__xludf.DUMMYFUNCTION("""COMPUTED_VALUE"""),1.0)</f>
        <v>1</v>
      </c>
      <c r="P19" s="35"/>
      <c r="Q19" s="35">
        <f>IFERROR(__xludf.DUMMYFUNCTION("""COMPUTED_VALUE"""),1.0)</f>
        <v>1</v>
      </c>
      <c r="R19" s="35">
        <f>IFERROR(__xludf.DUMMYFUNCTION("""COMPUTED_VALUE"""),7.0)</f>
        <v>7</v>
      </c>
      <c r="S19" s="35">
        <f>IFERROR(__xludf.DUMMYFUNCTION("""COMPUTED_VALUE"""),1.0)</f>
        <v>1</v>
      </c>
      <c r="T19" s="35">
        <f>IFERROR(__xludf.DUMMYFUNCTION("""COMPUTED_VALUE"""),4.5)</f>
        <v>4.5</v>
      </c>
      <c r="U19" s="35">
        <f>IFERROR(__xludf.DUMMYFUNCTION("""COMPUTED_VALUE"""),1.0)</f>
        <v>1</v>
      </c>
      <c r="V19" s="35">
        <f>IFERROR(__xludf.DUMMYFUNCTION("""COMPUTED_VALUE"""),5.0)</f>
        <v>5</v>
      </c>
      <c r="W19" s="35">
        <f>IFERROR(__xludf.DUMMYFUNCTION("""COMPUTED_VALUE"""),1.0)</f>
        <v>1</v>
      </c>
      <c r="X19" s="35">
        <f>IFERROR(__xludf.DUMMYFUNCTION("""COMPUTED_VALUE"""),7.0)</f>
        <v>7</v>
      </c>
      <c r="Y19" s="35">
        <f>IFERROR(__xludf.DUMMYFUNCTION("""COMPUTED_VALUE"""),0.0)</f>
        <v>0</v>
      </c>
      <c r="Z19" s="35"/>
      <c r="AA19" s="35"/>
      <c r="AB19" s="35"/>
      <c r="AC19" s="35"/>
      <c r="AD19" s="35"/>
      <c r="AE19" s="35">
        <f>IFERROR(__xludf.DUMMYFUNCTION("""COMPUTED_VALUE"""),5.0)</f>
        <v>5</v>
      </c>
      <c r="AF19" s="35">
        <f>IFERROR(__xludf.DUMMYFUNCTION("""COMPUTED_VALUE"""),5.0)</f>
        <v>5</v>
      </c>
      <c r="AG19" s="35">
        <f>IFERROR(__xludf.DUMMYFUNCTION("""COMPUTED_VALUE"""),5.0)</f>
        <v>5</v>
      </c>
      <c r="AH19" s="35">
        <f>IFERROR(__xludf.DUMMYFUNCTION("""COMPUTED_VALUE"""),5.0)</f>
        <v>5</v>
      </c>
      <c r="AI19" s="35">
        <f>IFERROR(__xludf.DUMMYFUNCTION("""COMPUTED_VALUE"""),5.0)</f>
        <v>5</v>
      </c>
      <c r="AJ19" s="35">
        <f>IFERROR(__xludf.DUMMYFUNCTION("""COMPUTED_VALUE"""),5.0)</f>
        <v>5</v>
      </c>
      <c r="AK19" s="35">
        <f>IFERROR(__xludf.DUMMYFUNCTION("""COMPUTED_VALUE"""),5.0)</f>
        <v>5</v>
      </c>
      <c r="AL19" s="35">
        <f>IFERROR(__xludf.DUMMYFUNCTION("""COMPUTED_VALUE"""),5.0)</f>
        <v>5</v>
      </c>
      <c r="AM19" s="35"/>
      <c r="AN19" s="36">
        <f>IFERROR(__xludf.DUMMYFUNCTION("""COMPUTED_VALUE"""),2.0)</f>
        <v>2</v>
      </c>
      <c r="AO19" s="22">
        <f>IFERROR(__xludf.DUMMYFUNCTION("""COMPUTED_VALUE"""),2.85)</f>
        <v>2.85</v>
      </c>
      <c r="AP19" s="22">
        <f>IFERROR(__xludf.DUMMYFUNCTION("""COMPUTED_VALUE"""),13.333333333333334)</f>
        <v>13.33333333</v>
      </c>
      <c r="AQ19" s="37">
        <f>IFERROR(__xludf.DUMMYFUNCTION("""COMPUTED_VALUE"""),18.25)</f>
        <v>18.25</v>
      </c>
    </row>
    <row r="20">
      <c r="A20" s="18">
        <f>IFERROR(__xludf.DUMMYFUNCTION("""COMPUTED_VALUE"""),10.0)</f>
        <v>10</v>
      </c>
      <c r="B20" s="32" t="str">
        <f>IFERROR(__xludf.DUMMYFUNCTION("""COMPUTED_VALUE"""),"25121016")</f>
        <v>25121016</v>
      </c>
      <c r="C20" s="18" t="str">
        <f>IFERROR(__xludf.DUMMYFUNCTION("""COMPUTED_VALUE"""),"SAHAREYA AKTHER")</f>
        <v>SAHAREYA AKTHER</v>
      </c>
      <c r="D20" s="15" t="str">
        <f>IFERROR(__xludf.DUMMYFUNCTION("""COMPUTED_VALUE"""),"EEE")</f>
        <v>EEE</v>
      </c>
      <c r="E20" s="15" t="str">
        <f>IFERROR(__xludf.DUMMYFUNCTION("""COMPUTED_VALUE"""),"sahareya.akther@g.bracu.ac.bd")</f>
        <v>sahareya.akther@g.bracu.ac.bd</v>
      </c>
      <c r="F20" s="33" t="str">
        <f>IFERROR(__xludf.DUMMYFUNCTION("""COMPUTED_VALUE"""),"01812672309")</f>
        <v>01812672309</v>
      </c>
      <c r="G20" s="22">
        <f>IFERROR(__xludf.DUMMYFUNCTION("""COMPUTED_VALUE"""),0.0)</f>
        <v>0</v>
      </c>
      <c r="H20" s="34">
        <f>IFERROR(__xludf.DUMMYFUNCTION("""COMPUTED_VALUE"""),1.0)</f>
        <v>1</v>
      </c>
      <c r="I20" s="35">
        <f>IFERROR(__xludf.DUMMYFUNCTION("""COMPUTED_VALUE"""),1.0)</f>
        <v>1</v>
      </c>
      <c r="J20" s="35"/>
      <c r="K20" s="35">
        <f>IFERROR(__xludf.DUMMYFUNCTION("""COMPUTED_VALUE"""),1.0)</f>
        <v>1</v>
      </c>
      <c r="L20" s="35">
        <f>IFERROR(__xludf.DUMMYFUNCTION("""COMPUTED_VALUE"""),4.0)</f>
        <v>4</v>
      </c>
      <c r="M20" s="35">
        <f>IFERROR(__xludf.DUMMYFUNCTION("""COMPUTED_VALUE"""),1.0)</f>
        <v>1</v>
      </c>
      <c r="N20" s="35">
        <f>IFERROR(__xludf.DUMMYFUNCTION("""COMPUTED_VALUE"""),5.0)</f>
        <v>5</v>
      </c>
      <c r="O20" s="35">
        <f>IFERROR(__xludf.DUMMYFUNCTION("""COMPUTED_VALUE"""),1.0)</f>
        <v>1</v>
      </c>
      <c r="P20" s="35"/>
      <c r="Q20" s="35">
        <f>IFERROR(__xludf.DUMMYFUNCTION("""COMPUTED_VALUE"""),1.0)</f>
        <v>1</v>
      </c>
      <c r="R20" s="35">
        <f>IFERROR(__xludf.DUMMYFUNCTION("""COMPUTED_VALUE"""),8.0)</f>
        <v>8</v>
      </c>
      <c r="S20" s="35">
        <f>IFERROR(__xludf.DUMMYFUNCTION("""COMPUTED_VALUE"""),1.0)</f>
        <v>1</v>
      </c>
      <c r="T20" s="35">
        <f>IFERROR(__xludf.DUMMYFUNCTION("""COMPUTED_VALUE"""),4.5)</f>
        <v>4.5</v>
      </c>
      <c r="U20" s="35">
        <f>IFERROR(__xludf.DUMMYFUNCTION("""COMPUTED_VALUE"""),1.0)</f>
        <v>1</v>
      </c>
      <c r="V20" s="35">
        <f>IFERROR(__xludf.DUMMYFUNCTION("""COMPUTED_VALUE"""),8.0)</f>
        <v>8</v>
      </c>
      <c r="W20" s="35">
        <f>IFERROR(__xludf.DUMMYFUNCTION("""COMPUTED_VALUE"""),1.0)</f>
        <v>1</v>
      </c>
      <c r="X20" s="35">
        <f>IFERROR(__xludf.DUMMYFUNCTION("""COMPUTED_VALUE"""),7.0)</f>
        <v>7</v>
      </c>
      <c r="Y20" s="35">
        <f>IFERROR(__xludf.DUMMYFUNCTION("""COMPUTED_VALUE"""),1.0)</f>
        <v>1</v>
      </c>
      <c r="Z20" s="35"/>
      <c r="AA20" s="35"/>
      <c r="AB20" s="35"/>
      <c r="AC20" s="35"/>
      <c r="AD20" s="35"/>
      <c r="AE20" s="35">
        <f>IFERROR(__xludf.DUMMYFUNCTION("""COMPUTED_VALUE"""),5.0)</f>
        <v>5</v>
      </c>
      <c r="AF20" s="35">
        <f>IFERROR(__xludf.DUMMYFUNCTION("""COMPUTED_VALUE"""),5.0)</f>
        <v>5</v>
      </c>
      <c r="AG20" s="35">
        <f>IFERROR(__xludf.DUMMYFUNCTION("""COMPUTED_VALUE"""),5.0)</f>
        <v>5</v>
      </c>
      <c r="AH20" s="35">
        <f>IFERROR(__xludf.DUMMYFUNCTION("""COMPUTED_VALUE"""),5.0)</f>
        <v>5</v>
      </c>
      <c r="AI20" s="35">
        <f>IFERROR(__xludf.DUMMYFUNCTION("""COMPUTED_VALUE"""),5.0)</f>
        <v>5</v>
      </c>
      <c r="AJ20" s="35">
        <f>IFERROR(__xludf.DUMMYFUNCTION("""COMPUTED_VALUE"""),5.0)</f>
        <v>5</v>
      </c>
      <c r="AK20" s="35">
        <f>IFERROR(__xludf.DUMMYFUNCTION("""COMPUTED_VALUE"""),5.0)</f>
        <v>5</v>
      </c>
      <c r="AL20" s="35">
        <f>IFERROR(__xludf.DUMMYFUNCTION("""COMPUTED_VALUE"""),5.0)</f>
        <v>5</v>
      </c>
      <c r="AM20" s="35"/>
      <c r="AN20" s="36">
        <f>IFERROR(__xludf.DUMMYFUNCTION("""COMPUTED_VALUE"""),2.0)</f>
        <v>2</v>
      </c>
      <c r="AO20" s="22">
        <f>IFERROR(__xludf.DUMMYFUNCTION("""COMPUTED_VALUE"""),2.55)</f>
        <v>2.55</v>
      </c>
      <c r="AP20" s="22">
        <f>IFERROR(__xludf.DUMMYFUNCTION("""COMPUTED_VALUE"""),15.333333333333334)</f>
        <v>15.33333333</v>
      </c>
      <c r="AQ20" s="37">
        <f>IFERROR(__xludf.DUMMYFUNCTION("""COMPUTED_VALUE"""),20.0)</f>
        <v>20</v>
      </c>
    </row>
    <row r="21">
      <c r="A21" s="18">
        <f>IFERROR(__xludf.DUMMYFUNCTION("""COMPUTED_VALUE"""),11.0)</f>
        <v>11</v>
      </c>
      <c r="B21" s="32" t="str">
        <f>IFERROR(__xludf.DUMMYFUNCTION("""COMPUTED_VALUE"""),"1000055387")</f>
        <v>1000055387</v>
      </c>
      <c r="C21" s="18" t="str">
        <f>IFERROR(__xludf.DUMMYFUNCTION("""COMPUTED_VALUE"""),"JUBAYER AHMED OHEE")</f>
        <v>JUBAYER AHMED OHEE</v>
      </c>
      <c r="D21" s="15" t="str">
        <f>IFERROR(__xludf.DUMMYFUNCTION("""COMPUTED_VALUE"""),"EEE")</f>
        <v>EEE</v>
      </c>
      <c r="E21" s="15" t="str">
        <f>IFERROR(__xludf.DUMMYFUNCTION("""COMPUTED_VALUE"""),"ohee1962@gmail.com")</f>
        <v>ohee1962@gmail.com</v>
      </c>
      <c r="F21" s="33">
        <f>IFERROR(__xludf.DUMMYFUNCTION("""COMPUTED_VALUE"""),8.801304832005E12)</f>
        <v>8801304832005</v>
      </c>
      <c r="G21" s="22">
        <f>IFERROR(__xludf.DUMMYFUNCTION("""COMPUTED_VALUE"""),0.0)</f>
        <v>0</v>
      </c>
      <c r="H21" s="34">
        <f>IFERROR(__xludf.DUMMYFUNCTION("""COMPUTED_VALUE"""),1.0)</f>
        <v>1</v>
      </c>
      <c r="I21" s="35">
        <f>IFERROR(__xludf.DUMMYFUNCTION("""COMPUTED_VALUE"""),1.0)</f>
        <v>1</v>
      </c>
      <c r="J21" s="35"/>
      <c r="K21" s="35">
        <f>IFERROR(__xludf.DUMMYFUNCTION("""COMPUTED_VALUE"""),1.0)</f>
        <v>1</v>
      </c>
      <c r="L21" s="35">
        <f>IFERROR(__xludf.DUMMYFUNCTION("""COMPUTED_VALUE"""),5.0)</f>
        <v>5</v>
      </c>
      <c r="M21" s="35">
        <f>IFERROR(__xludf.DUMMYFUNCTION("""COMPUTED_VALUE"""),1.0)</f>
        <v>1</v>
      </c>
      <c r="N21" s="35">
        <f>IFERROR(__xludf.DUMMYFUNCTION("""COMPUTED_VALUE"""),9.0)</f>
        <v>9</v>
      </c>
      <c r="O21" s="35">
        <f>IFERROR(__xludf.DUMMYFUNCTION("""COMPUTED_VALUE"""),1.0)</f>
        <v>1</v>
      </c>
      <c r="P21" s="35"/>
      <c r="Q21" s="35">
        <f>IFERROR(__xludf.DUMMYFUNCTION("""COMPUTED_VALUE"""),1.0)</f>
        <v>1</v>
      </c>
      <c r="R21" s="35">
        <f>IFERROR(__xludf.DUMMYFUNCTION("""COMPUTED_VALUE"""),10.0)</f>
        <v>10</v>
      </c>
      <c r="S21" s="35">
        <f>IFERROR(__xludf.DUMMYFUNCTION("""COMPUTED_VALUE"""),1.0)</f>
        <v>1</v>
      </c>
      <c r="T21" s="35">
        <f>IFERROR(__xludf.DUMMYFUNCTION("""COMPUTED_VALUE"""),5.0)</f>
        <v>5</v>
      </c>
      <c r="U21" s="35">
        <f>IFERROR(__xludf.DUMMYFUNCTION("""COMPUTED_VALUE"""),1.0)</f>
        <v>1</v>
      </c>
      <c r="V21" s="35">
        <f>IFERROR(__xludf.DUMMYFUNCTION("""COMPUTED_VALUE"""),9.0)</f>
        <v>9</v>
      </c>
      <c r="W21" s="35">
        <f>IFERROR(__xludf.DUMMYFUNCTION("""COMPUTED_VALUE"""),1.0)</f>
        <v>1</v>
      </c>
      <c r="X21" s="35">
        <f>IFERROR(__xludf.DUMMYFUNCTION("""COMPUTED_VALUE"""),7.0)</f>
        <v>7</v>
      </c>
      <c r="Y21" s="35">
        <f>IFERROR(__xludf.DUMMYFUNCTION("""COMPUTED_VALUE"""),1.0)</f>
        <v>1</v>
      </c>
      <c r="Z21" s="35"/>
      <c r="AA21" s="35"/>
      <c r="AB21" s="35"/>
      <c r="AC21" s="35"/>
      <c r="AD21" s="35"/>
      <c r="AE21" s="35">
        <f>IFERROR(__xludf.DUMMYFUNCTION("""COMPUTED_VALUE"""),0.0)</f>
        <v>0</v>
      </c>
      <c r="AF21" s="35">
        <f>IFERROR(__xludf.DUMMYFUNCTION("""COMPUTED_VALUE"""),0.0)</f>
        <v>0</v>
      </c>
      <c r="AG21" s="35">
        <f>IFERROR(__xludf.DUMMYFUNCTION("""COMPUTED_VALUE"""),0.0)</f>
        <v>0</v>
      </c>
      <c r="AH21" s="35">
        <f>IFERROR(__xludf.DUMMYFUNCTION("""COMPUTED_VALUE"""),0.0)</f>
        <v>0</v>
      </c>
      <c r="AI21" s="35">
        <f>IFERROR(__xludf.DUMMYFUNCTION("""COMPUTED_VALUE"""),0.0)</f>
        <v>0</v>
      </c>
      <c r="AJ21" s="35">
        <f>IFERROR(__xludf.DUMMYFUNCTION("""COMPUTED_VALUE"""),0.0)</f>
        <v>0</v>
      </c>
      <c r="AK21" s="35">
        <f>IFERROR(__xludf.DUMMYFUNCTION("""COMPUTED_VALUE"""),5.0)</f>
        <v>5</v>
      </c>
      <c r="AL21" s="35">
        <f>IFERROR(__xludf.DUMMYFUNCTION("""COMPUTED_VALUE"""),5.0)</f>
        <v>5</v>
      </c>
      <c r="AM21" s="35"/>
      <c r="AN21" s="36">
        <f>IFERROR(__xludf.DUMMYFUNCTION("""COMPUTED_VALUE"""),0.5)</f>
        <v>0.5</v>
      </c>
      <c r="AO21" s="22">
        <f>IFERROR(__xludf.DUMMYFUNCTION("""COMPUTED_VALUE"""),3.0)</f>
        <v>3</v>
      </c>
      <c r="AP21" s="22">
        <f>IFERROR(__xludf.DUMMYFUNCTION("""COMPUTED_VALUE"""),18.666666666666668)</f>
        <v>18.66666667</v>
      </c>
      <c r="AQ21" s="37">
        <f>IFERROR(__xludf.DUMMYFUNCTION("""COMPUTED_VALUE"""),22.25)</f>
        <v>22.25</v>
      </c>
    </row>
    <row r="22">
      <c r="A22" s="47">
        <f>IFERROR(__xludf.DUMMYFUNCTION("""COMPUTED_VALUE"""),12.0)</f>
        <v>12</v>
      </c>
      <c r="B22" s="48" t="str">
        <f>IFERROR(__xludf.DUMMYFUNCTION("""COMPUTED_VALUE"""),"1000055413")</f>
        <v>1000055413</v>
      </c>
      <c r="C22" s="47" t="str">
        <f>IFERROR(__xludf.DUMMYFUNCTION("""COMPUTED_VALUE"""),"Sheikh Md. Tamim Tahsin Hoque")</f>
        <v>Sheikh Md. Tamim Tahsin Hoque</v>
      </c>
      <c r="D22" s="49" t="str">
        <f>IFERROR(__xludf.DUMMYFUNCTION("""COMPUTED_VALUE"""),"CSE")</f>
        <v>CSE</v>
      </c>
      <c r="E22" s="49" t="str">
        <f>IFERROR(__xludf.DUMMYFUNCTION("""COMPUTED_VALUE"""),"tamim.tahsin.hoque@g.bracu.ac.bd")</f>
        <v>tamim.tahsin.hoque@g.bracu.ac.bd</v>
      </c>
      <c r="F22" s="50">
        <f>IFERROR(__xludf.DUMMYFUNCTION("""COMPUTED_VALUE"""),8.80196908032E12)</f>
        <v>8801969080320</v>
      </c>
      <c r="G22" s="51">
        <f>IFERROR(__xludf.DUMMYFUNCTION("""COMPUTED_VALUE"""),1.0)</f>
        <v>1</v>
      </c>
      <c r="H22" s="52">
        <f>IFERROR(__xludf.DUMMYFUNCTION("""COMPUTED_VALUE"""),0.9)</f>
        <v>0.9</v>
      </c>
      <c r="I22" s="53">
        <f>IFERROR(__xludf.DUMMYFUNCTION("""COMPUTED_VALUE"""),1.0)</f>
        <v>1</v>
      </c>
      <c r="J22" s="53"/>
      <c r="K22" s="53">
        <f>IFERROR(__xludf.DUMMYFUNCTION("""COMPUTED_VALUE"""),1.0)</f>
        <v>1</v>
      </c>
      <c r="L22" s="53">
        <f>IFERROR(__xludf.DUMMYFUNCTION("""COMPUTED_VALUE"""),5.0)</f>
        <v>5</v>
      </c>
      <c r="M22" s="53">
        <f>IFERROR(__xludf.DUMMYFUNCTION("""COMPUTED_VALUE"""),1.0)</f>
        <v>1</v>
      </c>
      <c r="N22" s="53"/>
      <c r="O22" s="53">
        <f>IFERROR(__xludf.DUMMYFUNCTION("""COMPUTED_VALUE"""),1.0)</f>
        <v>1</v>
      </c>
      <c r="P22" s="53"/>
      <c r="Q22" s="53">
        <f>IFERROR(__xludf.DUMMYFUNCTION("""COMPUTED_VALUE"""),0.0)</f>
        <v>0</v>
      </c>
      <c r="R22" s="53"/>
      <c r="S22" s="53">
        <f>IFERROR(__xludf.DUMMYFUNCTION("""COMPUTED_VALUE"""),1.0)</f>
        <v>1</v>
      </c>
      <c r="T22" s="53">
        <f>IFERROR(__xludf.DUMMYFUNCTION("""COMPUTED_VALUE"""),4.5)</f>
        <v>4.5</v>
      </c>
      <c r="U22" s="53">
        <f>IFERROR(__xludf.DUMMYFUNCTION("""COMPUTED_VALUE"""),1.0)</f>
        <v>1</v>
      </c>
      <c r="V22" s="53">
        <f>IFERROR(__xludf.DUMMYFUNCTION("""COMPUTED_VALUE"""),6.0)</f>
        <v>6</v>
      </c>
      <c r="W22" s="53">
        <f>IFERROR(__xludf.DUMMYFUNCTION("""COMPUTED_VALUE"""),1.0)</f>
        <v>1</v>
      </c>
      <c r="X22" s="53">
        <f>IFERROR(__xludf.DUMMYFUNCTION("""COMPUTED_VALUE"""),7.0)</f>
        <v>7</v>
      </c>
      <c r="Y22" s="53">
        <f>IFERROR(__xludf.DUMMYFUNCTION("""COMPUTED_VALUE"""),1.0)</f>
        <v>1</v>
      </c>
      <c r="Z22" s="53"/>
      <c r="AA22" s="53"/>
      <c r="AB22" s="53"/>
      <c r="AC22" s="53"/>
      <c r="AD22" s="53"/>
      <c r="AE22" s="53">
        <f>IFERROR(__xludf.DUMMYFUNCTION("""COMPUTED_VALUE"""),5.0)</f>
        <v>5</v>
      </c>
      <c r="AF22" s="53">
        <f>IFERROR(__xludf.DUMMYFUNCTION("""COMPUTED_VALUE"""),5.0)</f>
        <v>5</v>
      </c>
      <c r="AG22" s="53">
        <f>IFERROR(__xludf.DUMMYFUNCTION("""COMPUTED_VALUE"""),0.0)</f>
        <v>0</v>
      </c>
      <c r="AH22" s="53">
        <f>IFERROR(__xludf.DUMMYFUNCTION("""COMPUTED_VALUE"""),0.0)</f>
        <v>0</v>
      </c>
      <c r="AI22" s="53">
        <f>IFERROR(__xludf.DUMMYFUNCTION("""COMPUTED_VALUE"""),0.0)</f>
        <v>0</v>
      </c>
      <c r="AJ22" s="53">
        <f>IFERROR(__xludf.DUMMYFUNCTION("""COMPUTED_VALUE"""),0.0)</f>
        <v>0</v>
      </c>
      <c r="AK22" s="53">
        <f>IFERROR(__xludf.DUMMYFUNCTION("""COMPUTED_VALUE"""),0.0)</f>
        <v>0</v>
      </c>
      <c r="AL22" s="53">
        <f>IFERROR(__xludf.DUMMYFUNCTION("""COMPUTED_VALUE"""),0.0)</f>
        <v>0</v>
      </c>
      <c r="AM22" s="53"/>
      <c r="AN22" s="54">
        <f>IFERROR(__xludf.DUMMYFUNCTION("""COMPUTED_VALUE"""),0.5)</f>
        <v>0.5</v>
      </c>
      <c r="AO22" s="51">
        <f>IFERROR(__xludf.DUMMYFUNCTION("""COMPUTED_VALUE"""),2.85)</f>
        <v>2.85</v>
      </c>
      <c r="AP22" s="51">
        <f>IFERROR(__xludf.DUMMYFUNCTION("""COMPUTED_VALUE"""),8.666666666666666)</f>
        <v>8.666666667</v>
      </c>
      <c r="AQ22" s="55">
        <f>IFERROR(__xludf.DUMMYFUNCTION("""COMPUTED_VALUE"""),12.25)</f>
        <v>12.25</v>
      </c>
      <c r="AR22" s="49"/>
      <c r="AS22" s="49"/>
      <c r="AT22" s="49"/>
      <c r="AU22" s="49"/>
      <c r="AV22" s="49"/>
      <c r="AW22" s="49"/>
      <c r="AX22" s="49"/>
      <c r="AY22" s="49"/>
      <c r="AZ22" s="49"/>
      <c r="BA22" s="49"/>
    </row>
    <row r="23">
      <c r="A23" s="18">
        <f>IFERROR(__xludf.DUMMYFUNCTION("""COMPUTED_VALUE"""),13.0)</f>
        <v>13</v>
      </c>
      <c r="B23" s="32" t="str">
        <f>IFERROR(__xludf.DUMMYFUNCTION("""COMPUTED_VALUE"""),"1000055669")</f>
        <v>1000055669</v>
      </c>
      <c r="C23" s="18" t="str">
        <f>IFERROR(__xludf.DUMMYFUNCTION("""COMPUTED_VALUE"""),"Abib Hasan")</f>
        <v>Abib Hasan</v>
      </c>
      <c r="D23" s="15" t="str">
        <f>IFERROR(__xludf.DUMMYFUNCTION("""COMPUTED_VALUE"""),"CS")</f>
        <v>CS</v>
      </c>
      <c r="E23" s="15" t="str">
        <f>IFERROR(__xludf.DUMMYFUNCTION("""COMPUTED_VALUE"""),"abib.hasan@g.bracu.ac.bd")</f>
        <v>abib.hasan@g.bracu.ac.bd</v>
      </c>
      <c r="F23" s="33">
        <f>IFERROR(__xludf.DUMMYFUNCTION("""COMPUTED_VALUE"""),8.801304752567E12)</f>
        <v>8801304752567</v>
      </c>
      <c r="G23" s="22">
        <f>IFERROR(__xludf.DUMMYFUNCTION("""COMPUTED_VALUE"""),0.0)</f>
        <v>0</v>
      </c>
      <c r="H23" s="34">
        <f>IFERROR(__xludf.DUMMYFUNCTION("""COMPUTED_VALUE"""),1.0)</f>
        <v>1</v>
      </c>
      <c r="I23" s="35">
        <f>IFERROR(__xludf.DUMMYFUNCTION("""COMPUTED_VALUE"""),1.0)</f>
        <v>1</v>
      </c>
      <c r="J23" s="35"/>
      <c r="K23" s="35">
        <f>IFERROR(__xludf.DUMMYFUNCTION("""COMPUTED_VALUE"""),1.0)</f>
        <v>1</v>
      </c>
      <c r="L23" s="35">
        <f>IFERROR(__xludf.DUMMYFUNCTION("""COMPUTED_VALUE"""),5.0)</f>
        <v>5</v>
      </c>
      <c r="M23" s="35">
        <f>IFERROR(__xludf.DUMMYFUNCTION("""COMPUTED_VALUE"""),1.0)</f>
        <v>1</v>
      </c>
      <c r="N23" s="35">
        <f>IFERROR(__xludf.DUMMYFUNCTION("""COMPUTED_VALUE"""),10.0)</f>
        <v>10</v>
      </c>
      <c r="O23" s="35">
        <f>IFERROR(__xludf.DUMMYFUNCTION("""COMPUTED_VALUE"""),1.0)</f>
        <v>1</v>
      </c>
      <c r="P23" s="35"/>
      <c r="Q23" s="35">
        <f>IFERROR(__xludf.DUMMYFUNCTION("""COMPUTED_VALUE"""),1.0)</f>
        <v>1</v>
      </c>
      <c r="R23" s="35">
        <f>IFERROR(__xludf.DUMMYFUNCTION("""COMPUTED_VALUE"""),7.0)</f>
        <v>7</v>
      </c>
      <c r="S23" s="35">
        <f>IFERROR(__xludf.DUMMYFUNCTION("""COMPUTED_VALUE"""),1.0)</f>
        <v>1</v>
      </c>
      <c r="T23" s="35">
        <f>IFERROR(__xludf.DUMMYFUNCTION("""COMPUTED_VALUE"""),5.0)</f>
        <v>5</v>
      </c>
      <c r="U23" s="35">
        <f>IFERROR(__xludf.DUMMYFUNCTION("""COMPUTED_VALUE"""),1.0)</f>
        <v>1</v>
      </c>
      <c r="V23" s="35">
        <f>IFERROR(__xludf.DUMMYFUNCTION("""COMPUTED_VALUE"""),6.0)</f>
        <v>6</v>
      </c>
      <c r="W23" s="35">
        <f>IFERROR(__xludf.DUMMYFUNCTION("""COMPUTED_VALUE"""),1.0)</f>
        <v>1</v>
      </c>
      <c r="X23" s="35">
        <f>IFERROR(__xludf.DUMMYFUNCTION("""COMPUTED_VALUE"""),7.0)</f>
        <v>7</v>
      </c>
      <c r="Y23" s="35">
        <f>IFERROR(__xludf.DUMMYFUNCTION("""COMPUTED_VALUE"""),1.0)</f>
        <v>1</v>
      </c>
      <c r="Z23" s="35"/>
      <c r="AA23" s="35"/>
      <c r="AB23" s="35"/>
      <c r="AC23" s="35"/>
      <c r="AD23" s="35"/>
      <c r="AE23" s="35">
        <f>IFERROR(__xludf.DUMMYFUNCTION("""COMPUTED_VALUE"""),5.0)</f>
        <v>5</v>
      </c>
      <c r="AF23" s="35">
        <f>IFERROR(__xludf.DUMMYFUNCTION("""COMPUTED_VALUE"""),5.0)</f>
        <v>5</v>
      </c>
      <c r="AG23" s="35">
        <f>IFERROR(__xludf.DUMMYFUNCTION("""COMPUTED_VALUE"""),5.0)</f>
        <v>5</v>
      </c>
      <c r="AH23" s="35">
        <f>IFERROR(__xludf.DUMMYFUNCTION("""COMPUTED_VALUE"""),5.0)</f>
        <v>5</v>
      </c>
      <c r="AI23" s="35">
        <f>IFERROR(__xludf.DUMMYFUNCTION("""COMPUTED_VALUE"""),5.0)</f>
        <v>5</v>
      </c>
      <c r="AJ23" s="35">
        <f>IFERROR(__xludf.DUMMYFUNCTION("""COMPUTED_VALUE"""),5.0)</f>
        <v>5</v>
      </c>
      <c r="AK23" s="35">
        <f>IFERROR(__xludf.DUMMYFUNCTION("""COMPUTED_VALUE"""),5.0)</f>
        <v>5</v>
      </c>
      <c r="AL23" s="35">
        <f>IFERROR(__xludf.DUMMYFUNCTION("""COMPUTED_VALUE"""),5.0)</f>
        <v>5</v>
      </c>
      <c r="AM23" s="35"/>
      <c r="AN23" s="36">
        <f>IFERROR(__xludf.DUMMYFUNCTION("""COMPUTED_VALUE"""),2.0)</f>
        <v>2</v>
      </c>
      <c r="AO23" s="22">
        <f>IFERROR(__xludf.DUMMYFUNCTION("""COMPUTED_VALUE"""),3.0)</f>
        <v>3</v>
      </c>
      <c r="AP23" s="22">
        <f>IFERROR(__xludf.DUMMYFUNCTION("""COMPUTED_VALUE"""),16.0)</f>
        <v>16</v>
      </c>
      <c r="AQ23" s="37">
        <f>IFERROR(__xludf.DUMMYFUNCTION("""COMPUTED_VALUE"""),21.0)</f>
        <v>21</v>
      </c>
    </row>
    <row r="24">
      <c r="A24" s="18">
        <f>IFERROR(__xludf.DUMMYFUNCTION("""COMPUTED_VALUE"""),14.0)</f>
        <v>14</v>
      </c>
      <c r="B24" s="32" t="str">
        <f>IFERROR(__xludf.DUMMYFUNCTION("""COMPUTED_VALUE"""),"1000056472")</f>
        <v>1000056472</v>
      </c>
      <c r="C24" s="18" t="str">
        <f>IFERROR(__xludf.DUMMYFUNCTION("""COMPUTED_VALUE"""),"Tasfia Rahman Oishi")</f>
        <v>Tasfia Rahman Oishi</v>
      </c>
      <c r="D24" s="15" t="str">
        <f>IFERROR(__xludf.DUMMYFUNCTION("""COMPUTED_VALUE"""),"MAT")</f>
        <v>MAT</v>
      </c>
      <c r="E24" s="15" t="str">
        <f>IFERROR(__xludf.DUMMYFUNCTION("""COMPUTED_VALUE"""),"tasfiaoishi810@gmail.com")</f>
        <v>tasfiaoishi810@gmail.com</v>
      </c>
      <c r="F24" s="33">
        <f>IFERROR(__xludf.DUMMYFUNCTION("""COMPUTED_VALUE"""),8.801969091042E12)</f>
        <v>8801969091042</v>
      </c>
      <c r="G24" s="22">
        <f>IFERROR(__xludf.DUMMYFUNCTION("""COMPUTED_VALUE"""),0.0)</f>
        <v>0</v>
      </c>
      <c r="H24" s="34">
        <f>IFERROR(__xludf.DUMMYFUNCTION("""COMPUTED_VALUE"""),1.0)</f>
        <v>1</v>
      </c>
      <c r="I24" s="35">
        <f>IFERROR(__xludf.DUMMYFUNCTION("""COMPUTED_VALUE"""),1.0)</f>
        <v>1</v>
      </c>
      <c r="J24" s="35"/>
      <c r="K24" s="35">
        <f>IFERROR(__xludf.DUMMYFUNCTION("""COMPUTED_VALUE"""),1.0)</f>
        <v>1</v>
      </c>
      <c r="L24" s="35">
        <f>IFERROR(__xludf.DUMMYFUNCTION("""COMPUTED_VALUE"""),4.0)</f>
        <v>4</v>
      </c>
      <c r="M24" s="35">
        <f>IFERROR(__xludf.DUMMYFUNCTION("""COMPUTED_VALUE"""),1.0)</f>
        <v>1</v>
      </c>
      <c r="N24" s="35">
        <f>IFERROR(__xludf.DUMMYFUNCTION("""COMPUTED_VALUE"""),10.0)</f>
        <v>10</v>
      </c>
      <c r="O24" s="35">
        <f>IFERROR(__xludf.DUMMYFUNCTION("""COMPUTED_VALUE"""),1.0)</f>
        <v>1</v>
      </c>
      <c r="P24" s="35"/>
      <c r="Q24" s="35">
        <f>IFERROR(__xludf.DUMMYFUNCTION("""COMPUTED_VALUE"""),1.0)</f>
        <v>1</v>
      </c>
      <c r="R24" s="35">
        <f>IFERROR(__xludf.DUMMYFUNCTION("""COMPUTED_VALUE"""),5.0)</f>
        <v>5</v>
      </c>
      <c r="S24" s="35">
        <f>IFERROR(__xludf.DUMMYFUNCTION("""COMPUTED_VALUE"""),1.0)</f>
        <v>1</v>
      </c>
      <c r="T24" s="35">
        <f>IFERROR(__xludf.DUMMYFUNCTION("""COMPUTED_VALUE"""),3.5)</f>
        <v>3.5</v>
      </c>
      <c r="U24" s="35">
        <f>IFERROR(__xludf.DUMMYFUNCTION("""COMPUTED_VALUE"""),1.0)</f>
        <v>1</v>
      </c>
      <c r="V24" s="35">
        <f>IFERROR(__xludf.DUMMYFUNCTION("""COMPUTED_VALUE"""),6.0)</f>
        <v>6</v>
      </c>
      <c r="W24" s="35">
        <f>IFERROR(__xludf.DUMMYFUNCTION("""COMPUTED_VALUE"""),1.0)</f>
        <v>1</v>
      </c>
      <c r="X24" s="35">
        <f>IFERROR(__xludf.DUMMYFUNCTION("""COMPUTED_VALUE"""),4.0)</f>
        <v>4</v>
      </c>
      <c r="Y24" s="35">
        <f>IFERROR(__xludf.DUMMYFUNCTION("""COMPUTED_VALUE"""),1.0)</f>
        <v>1</v>
      </c>
      <c r="Z24" s="35"/>
      <c r="AA24" s="35"/>
      <c r="AB24" s="35"/>
      <c r="AC24" s="35"/>
      <c r="AD24" s="35"/>
      <c r="AE24" s="35">
        <f>IFERROR(__xludf.DUMMYFUNCTION("""COMPUTED_VALUE"""),5.0)</f>
        <v>5</v>
      </c>
      <c r="AF24" s="35">
        <f>IFERROR(__xludf.DUMMYFUNCTION("""COMPUTED_VALUE"""),5.0)</f>
        <v>5</v>
      </c>
      <c r="AG24" s="35">
        <f>IFERROR(__xludf.DUMMYFUNCTION("""COMPUTED_VALUE"""),5.0)</f>
        <v>5</v>
      </c>
      <c r="AH24" s="35">
        <f>IFERROR(__xludf.DUMMYFUNCTION("""COMPUTED_VALUE"""),5.0)</f>
        <v>5</v>
      </c>
      <c r="AI24" s="35">
        <f>IFERROR(__xludf.DUMMYFUNCTION("""COMPUTED_VALUE"""),5.0)</f>
        <v>5</v>
      </c>
      <c r="AJ24" s="35">
        <f>IFERROR(__xludf.DUMMYFUNCTION("""COMPUTED_VALUE"""),0.0)</f>
        <v>0</v>
      </c>
      <c r="AK24" s="35">
        <f>IFERROR(__xludf.DUMMYFUNCTION("""COMPUTED_VALUE"""),5.0)</f>
        <v>5</v>
      </c>
      <c r="AL24" s="35">
        <f>IFERROR(__xludf.DUMMYFUNCTION("""COMPUTED_VALUE"""),5.0)</f>
        <v>5</v>
      </c>
      <c r="AM24" s="35"/>
      <c r="AN24" s="36">
        <f>IFERROR(__xludf.DUMMYFUNCTION("""COMPUTED_VALUE"""),1.75)</f>
        <v>1.75</v>
      </c>
      <c r="AO24" s="22">
        <f>IFERROR(__xludf.DUMMYFUNCTION("""COMPUTED_VALUE"""),2.25)</f>
        <v>2.25</v>
      </c>
      <c r="AP24" s="22">
        <f>IFERROR(__xludf.DUMMYFUNCTION("""COMPUTED_VALUE"""),14.0)</f>
        <v>14</v>
      </c>
      <c r="AQ24" s="37">
        <f>IFERROR(__xludf.DUMMYFUNCTION("""COMPUTED_VALUE"""),18.0)</f>
        <v>18</v>
      </c>
    </row>
    <row r="25">
      <c r="A25" s="18">
        <f>IFERROR(__xludf.DUMMYFUNCTION("""COMPUTED_VALUE"""),15.0)</f>
        <v>15</v>
      </c>
      <c r="B25" s="32" t="str">
        <f>IFERROR(__xludf.DUMMYFUNCTION("""COMPUTED_VALUE"""),"1000056546")</f>
        <v>1000056546</v>
      </c>
      <c r="C25" s="18" t="str">
        <f>IFERROR(__xludf.DUMMYFUNCTION("""COMPUTED_VALUE"""),"Sharman Ahmed")</f>
        <v>Sharman Ahmed</v>
      </c>
      <c r="D25" s="15" t="str">
        <f>IFERROR(__xludf.DUMMYFUNCTION("""COMPUTED_VALUE"""),"CSE")</f>
        <v>CSE</v>
      </c>
      <c r="E25" s="15" t="str">
        <f>IFERROR(__xludf.DUMMYFUNCTION("""COMPUTED_VALUE"""),"sharman.ahmed@g.bracu.ac.bd")</f>
        <v>sharman.ahmed@g.bracu.ac.bd</v>
      </c>
      <c r="F25" s="33">
        <f>IFERROR(__xludf.DUMMYFUNCTION("""COMPUTED_VALUE"""),8.801639777886E12)</f>
        <v>8801639777886</v>
      </c>
      <c r="G25" s="22">
        <f>IFERROR(__xludf.DUMMYFUNCTION("""COMPUTED_VALUE"""),0.0)</f>
        <v>0</v>
      </c>
      <c r="H25" s="34">
        <f>IFERROR(__xludf.DUMMYFUNCTION("""COMPUTED_VALUE"""),1.0)</f>
        <v>1</v>
      </c>
      <c r="I25" s="35">
        <f>IFERROR(__xludf.DUMMYFUNCTION("""COMPUTED_VALUE"""),1.0)</f>
        <v>1</v>
      </c>
      <c r="J25" s="35"/>
      <c r="K25" s="35">
        <f>IFERROR(__xludf.DUMMYFUNCTION("""COMPUTED_VALUE"""),1.0)</f>
        <v>1</v>
      </c>
      <c r="L25" s="35">
        <f>IFERROR(__xludf.DUMMYFUNCTION("""COMPUTED_VALUE"""),5.0)</f>
        <v>5</v>
      </c>
      <c r="M25" s="35">
        <f>IFERROR(__xludf.DUMMYFUNCTION("""COMPUTED_VALUE"""),1.0)</f>
        <v>1</v>
      </c>
      <c r="N25" s="35">
        <f>IFERROR(__xludf.DUMMYFUNCTION("""COMPUTED_VALUE"""),3.0)</f>
        <v>3</v>
      </c>
      <c r="O25" s="35">
        <f>IFERROR(__xludf.DUMMYFUNCTION("""COMPUTED_VALUE"""),1.0)</f>
        <v>1</v>
      </c>
      <c r="P25" s="35"/>
      <c r="Q25" s="35">
        <f>IFERROR(__xludf.DUMMYFUNCTION("""COMPUTED_VALUE"""),1.0)</f>
        <v>1</v>
      </c>
      <c r="R25" s="35">
        <f>IFERROR(__xludf.DUMMYFUNCTION("""COMPUTED_VALUE"""),6.0)</f>
        <v>6</v>
      </c>
      <c r="S25" s="35">
        <f>IFERROR(__xludf.DUMMYFUNCTION("""COMPUTED_VALUE"""),1.0)</f>
        <v>1</v>
      </c>
      <c r="T25" s="35">
        <f>IFERROR(__xludf.DUMMYFUNCTION("""COMPUTED_VALUE"""),5.0)</f>
        <v>5</v>
      </c>
      <c r="U25" s="35">
        <f>IFERROR(__xludf.DUMMYFUNCTION("""COMPUTED_VALUE"""),1.0)</f>
        <v>1</v>
      </c>
      <c r="V25" s="35">
        <f>IFERROR(__xludf.DUMMYFUNCTION("""COMPUTED_VALUE"""),5.0)</f>
        <v>5</v>
      </c>
      <c r="W25" s="35">
        <f>IFERROR(__xludf.DUMMYFUNCTION("""COMPUTED_VALUE"""),1.0)</f>
        <v>1</v>
      </c>
      <c r="X25" s="35">
        <f>IFERROR(__xludf.DUMMYFUNCTION("""COMPUTED_VALUE"""),3.0)</f>
        <v>3</v>
      </c>
      <c r="Y25" s="35">
        <f>IFERROR(__xludf.DUMMYFUNCTION("""COMPUTED_VALUE"""),1.0)</f>
        <v>1</v>
      </c>
      <c r="Z25" s="35"/>
      <c r="AA25" s="35"/>
      <c r="AB25" s="35"/>
      <c r="AC25" s="35"/>
      <c r="AD25" s="35"/>
      <c r="AE25" s="35">
        <f>IFERROR(__xludf.DUMMYFUNCTION("""COMPUTED_VALUE"""),5.0)</f>
        <v>5</v>
      </c>
      <c r="AF25" s="35">
        <f>IFERROR(__xludf.DUMMYFUNCTION("""COMPUTED_VALUE"""),5.0)</f>
        <v>5</v>
      </c>
      <c r="AG25" s="35">
        <f>IFERROR(__xludf.DUMMYFUNCTION("""COMPUTED_VALUE"""),5.0)</f>
        <v>5</v>
      </c>
      <c r="AH25" s="35">
        <f>IFERROR(__xludf.DUMMYFUNCTION("""COMPUTED_VALUE"""),5.0)</f>
        <v>5</v>
      </c>
      <c r="AI25" s="35">
        <f>IFERROR(__xludf.DUMMYFUNCTION("""COMPUTED_VALUE"""),5.0)</f>
        <v>5</v>
      </c>
      <c r="AJ25" s="35">
        <f>IFERROR(__xludf.DUMMYFUNCTION("""COMPUTED_VALUE"""),0.0)</f>
        <v>0</v>
      </c>
      <c r="AK25" s="35">
        <f>IFERROR(__xludf.DUMMYFUNCTION("""COMPUTED_VALUE"""),5.0)</f>
        <v>5</v>
      </c>
      <c r="AL25" s="35">
        <f>IFERROR(__xludf.DUMMYFUNCTION("""COMPUTED_VALUE"""),5.0)</f>
        <v>5</v>
      </c>
      <c r="AM25" s="35"/>
      <c r="AN25" s="36">
        <f>IFERROR(__xludf.DUMMYFUNCTION("""COMPUTED_VALUE"""),1.75)</f>
        <v>1.75</v>
      </c>
      <c r="AO25" s="22">
        <f>IFERROR(__xludf.DUMMYFUNCTION("""COMPUTED_VALUE"""),3.0)</f>
        <v>3</v>
      </c>
      <c r="AP25" s="22">
        <f>IFERROR(__xludf.DUMMYFUNCTION("""COMPUTED_VALUE"""),9.333333333333334)</f>
        <v>9.333333333</v>
      </c>
      <c r="AQ25" s="37">
        <f>IFERROR(__xludf.DUMMYFUNCTION("""COMPUTED_VALUE"""),14.25)</f>
        <v>14.25</v>
      </c>
    </row>
    <row r="26">
      <c r="A26" s="18">
        <f>IFERROR(__xludf.DUMMYFUNCTION("""COMPUTED_VALUE"""),16.0)</f>
        <v>16</v>
      </c>
      <c r="B26" s="32" t="str">
        <f>IFERROR(__xludf.DUMMYFUNCTION("""COMPUTED_VALUE"""),"1000056651")</f>
        <v>1000056651</v>
      </c>
      <c r="C26" s="18" t="str">
        <f>IFERROR(__xludf.DUMMYFUNCTION("""COMPUTED_VALUE"""),"SYED NAFIAN KHALEED")</f>
        <v>SYED NAFIAN KHALEED</v>
      </c>
      <c r="D26" s="15" t="str">
        <f>IFERROR(__xludf.DUMMYFUNCTION("""COMPUTED_VALUE"""),"MAT")</f>
        <v>MAT</v>
      </c>
      <c r="E26" s="15" t="str">
        <f>IFERROR(__xludf.DUMMYFUNCTION("""COMPUTED_VALUE"""),"nafiankhalid@gmail.com")</f>
        <v>nafiankhalid@gmail.com</v>
      </c>
      <c r="F26" s="33">
        <f>IFERROR(__xludf.DUMMYFUNCTION("""COMPUTED_VALUE"""),8.80161643701E12)</f>
        <v>8801616437010</v>
      </c>
      <c r="G26" s="22">
        <f>IFERROR(__xludf.DUMMYFUNCTION("""COMPUTED_VALUE"""),1.0)</f>
        <v>1</v>
      </c>
      <c r="H26" s="34">
        <f>IFERROR(__xludf.DUMMYFUNCTION("""COMPUTED_VALUE"""),0.9)</f>
        <v>0.9</v>
      </c>
      <c r="I26" s="35">
        <f>IFERROR(__xludf.DUMMYFUNCTION("""COMPUTED_VALUE"""),1.0)</f>
        <v>1</v>
      </c>
      <c r="J26" s="35"/>
      <c r="K26" s="35">
        <f>IFERROR(__xludf.DUMMYFUNCTION("""COMPUTED_VALUE"""),1.0)</f>
        <v>1</v>
      </c>
      <c r="L26" s="35">
        <f>IFERROR(__xludf.DUMMYFUNCTION("""COMPUTED_VALUE"""),5.0)</f>
        <v>5</v>
      </c>
      <c r="M26" s="35">
        <f>IFERROR(__xludf.DUMMYFUNCTION("""COMPUTED_VALUE"""),0.0)</f>
        <v>0</v>
      </c>
      <c r="N26" s="35"/>
      <c r="O26" s="35">
        <f>IFERROR(__xludf.DUMMYFUNCTION("""COMPUTED_VALUE"""),1.0)</f>
        <v>1</v>
      </c>
      <c r="P26" s="35"/>
      <c r="Q26" s="35">
        <f>IFERROR(__xludf.DUMMYFUNCTION("""COMPUTED_VALUE"""),1.0)</f>
        <v>1</v>
      </c>
      <c r="R26" s="35">
        <f>IFERROR(__xludf.DUMMYFUNCTION("""COMPUTED_VALUE"""),9.0)</f>
        <v>9</v>
      </c>
      <c r="S26" s="35">
        <f>IFERROR(__xludf.DUMMYFUNCTION("""COMPUTED_VALUE"""),1.0)</f>
        <v>1</v>
      </c>
      <c r="T26" s="35">
        <f>IFERROR(__xludf.DUMMYFUNCTION("""COMPUTED_VALUE"""),7.0)</f>
        <v>7</v>
      </c>
      <c r="U26" s="35">
        <f>IFERROR(__xludf.DUMMYFUNCTION("""COMPUTED_VALUE"""),1.0)</f>
        <v>1</v>
      </c>
      <c r="V26" s="35">
        <f>IFERROR(__xludf.DUMMYFUNCTION("""COMPUTED_VALUE"""),8.0)</f>
        <v>8</v>
      </c>
      <c r="W26" s="35">
        <f>IFERROR(__xludf.DUMMYFUNCTION("""COMPUTED_VALUE"""),1.0)</f>
        <v>1</v>
      </c>
      <c r="X26" s="35">
        <f>IFERROR(__xludf.DUMMYFUNCTION("""COMPUTED_VALUE"""),6.0)</f>
        <v>6</v>
      </c>
      <c r="Y26" s="35">
        <f>IFERROR(__xludf.DUMMYFUNCTION("""COMPUTED_VALUE"""),1.0)</f>
        <v>1</v>
      </c>
      <c r="Z26" s="35"/>
      <c r="AA26" s="35"/>
      <c r="AB26" s="35"/>
      <c r="AC26" s="35"/>
      <c r="AD26" s="35"/>
      <c r="AE26" s="35">
        <f>IFERROR(__xludf.DUMMYFUNCTION("""COMPUTED_VALUE"""),5.0)</f>
        <v>5</v>
      </c>
      <c r="AF26" s="35">
        <f>IFERROR(__xludf.DUMMYFUNCTION("""COMPUTED_VALUE"""),5.0)</f>
        <v>5</v>
      </c>
      <c r="AG26" s="35">
        <f>IFERROR(__xludf.DUMMYFUNCTION("""COMPUTED_VALUE"""),5.0)</f>
        <v>5</v>
      </c>
      <c r="AH26" s="35">
        <f>IFERROR(__xludf.DUMMYFUNCTION("""COMPUTED_VALUE"""),5.0)</f>
        <v>5</v>
      </c>
      <c r="AI26" s="35">
        <f>IFERROR(__xludf.DUMMYFUNCTION("""COMPUTED_VALUE"""),5.0)</f>
        <v>5</v>
      </c>
      <c r="AJ26" s="35">
        <f>IFERROR(__xludf.DUMMYFUNCTION("""COMPUTED_VALUE"""),5.0)</f>
        <v>5</v>
      </c>
      <c r="AK26" s="35">
        <f>IFERROR(__xludf.DUMMYFUNCTION("""COMPUTED_VALUE"""),5.0)</f>
        <v>5</v>
      </c>
      <c r="AL26" s="35">
        <f>IFERROR(__xludf.DUMMYFUNCTION("""COMPUTED_VALUE"""),5.0)</f>
        <v>5</v>
      </c>
      <c r="AM26" s="35"/>
      <c r="AN26" s="36">
        <f>IFERROR(__xludf.DUMMYFUNCTION("""COMPUTED_VALUE"""),2.0)</f>
        <v>2</v>
      </c>
      <c r="AO26" s="22">
        <f>IFERROR(__xludf.DUMMYFUNCTION("""COMPUTED_VALUE"""),3.6)</f>
        <v>3.6</v>
      </c>
      <c r="AP26" s="22">
        <f>IFERROR(__xludf.DUMMYFUNCTION("""COMPUTED_VALUE"""),15.333333333333334)</f>
        <v>15.33333333</v>
      </c>
      <c r="AQ26" s="37">
        <f>IFERROR(__xludf.DUMMYFUNCTION("""COMPUTED_VALUE"""),21.0)</f>
        <v>21</v>
      </c>
    </row>
    <row r="27">
      <c r="A27" s="18">
        <f>IFERROR(__xludf.DUMMYFUNCTION("""COMPUTED_VALUE"""),17.0)</f>
        <v>17</v>
      </c>
      <c r="B27" s="32" t="str">
        <f>IFERROR(__xludf.DUMMYFUNCTION("""COMPUTED_VALUE"""),"1000056677")</f>
        <v>1000056677</v>
      </c>
      <c r="C27" s="18" t="str">
        <f>IFERROR(__xludf.DUMMYFUNCTION("""COMPUTED_VALUE"""),"EZHAAN ABDULLAH ALI")</f>
        <v>EZHAAN ABDULLAH ALI</v>
      </c>
      <c r="D27" s="15" t="str">
        <f>IFERROR(__xludf.DUMMYFUNCTION("""COMPUTED_VALUE"""),"CSE")</f>
        <v>CSE</v>
      </c>
      <c r="E27" s="15" t="str">
        <f>IFERROR(__xludf.DUMMYFUNCTION("""COMPUTED_VALUE"""),"mahboob3030@gmail.com")</f>
        <v>mahboob3030@gmail.com</v>
      </c>
      <c r="F27" s="33">
        <f>IFERROR(__xludf.DUMMYFUNCTION("""COMPUTED_VALUE"""),8.801819296183E12)</f>
        <v>8801819296183</v>
      </c>
      <c r="G27" s="22">
        <f>IFERROR(__xludf.DUMMYFUNCTION("""COMPUTED_VALUE"""),1.0)</f>
        <v>1</v>
      </c>
      <c r="H27" s="34">
        <f>IFERROR(__xludf.DUMMYFUNCTION("""COMPUTED_VALUE"""),0.9)</f>
        <v>0.9</v>
      </c>
      <c r="I27" s="35">
        <f>IFERROR(__xludf.DUMMYFUNCTION("""COMPUTED_VALUE"""),1.0)</f>
        <v>1</v>
      </c>
      <c r="J27" s="35"/>
      <c r="K27" s="35">
        <f>IFERROR(__xludf.DUMMYFUNCTION("""COMPUTED_VALUE"""),1.0)</f>
        <v>1</v>
      </c>
      <c r="L27" s="35">
        <f>IFERROR(__xludf.DUMMYFUNCTION("""COMPUTED_VALUE"""),5.0)</f>
        <v>5</v>
      </c>
      <c r="M27" s="35">
        <f>IFERROR(__xludf.DUMMYFUNCTION("""COMPUTED_VALUE"""),1.0)</f>
        <v>1</v>
      </c>
      <c r="N27" s="35">
        <f>IFERROR(__xludf.DUMMYFUNCTION("""COMPUTED_VALUE"""),7.0)</f>
        <v>7</v>
      </c>
      <c r="O27" s="35">
        <f>IFERROR(__xludf.DUMMYFUNCTION("""COMPUTED_VALUE"""),1.0)</f>
        <v>1</v>
      </c>
      <c r="P27" s="35"/>
      <c r="Q27" s="35">
        <f>IFERROR(__xludf.DUMMYFUNCTION("""COMPUTED_VALUE"""),1.0)</f>
        <v>1</v>
      </c>
      <c r="R27" s="35">
        <f>IFERROR(__xludf.DUMMYFUNCTION("""COMPUTED_VALUE"""),7.0)</f>
        <v>7</v>
      </c>
      <c r="S27" s="35">
        <f>IFERROR(__xludf.DUMMYFUNCTION("""COMPUTED_VALUE"""),1.0)</f>
        <v>1</v>
      </c>
      <c r="T27" s="35">
        <f>IFERROR(__xludf.DUMMYFUNCTION("""COMPUTED_VALUE"""),5.0)</f>
        <v>5</v>
      </c>
      <c r="U27" s="35">
        <f>IFERROR(__xludf.DUMMYFUNCTION("""COMPUTED_VALUE"""),1.0)</f>
        <v>1</v>
      </c>
      <c r="V27" s="35">
        <f>IFERROR(__xludf.DUMMYFUNCTION("""COMPUTED_VALUE"""),5.0)</f>
        <v>5</v>
      </c>
      <c r="W27" s="35">
        <f>IFERROR(__xludf.DUMMYFUNCTION("""COMPUTED_VALUE"""),1.0)</f>
        <v>1</v>
      </c>
      <c r="X27" s="35">
        <f>IFERROR(__xludf.DUMMYFUNCTION("""COMPUTED_VALUE"""),5.0)</f>
        <v>5</v>
      </c>
      <c r="Y27" s="35">
        <f>IFERROR(__xludf.DUMMYFUNCTION("""COMPUTED_VALUE"""),0.0)</f>
        <v>0</v>
      </c>
      <c r="Z27" s="35"/>
      <c r="AA27" s="35"/>
      <c r="AB27" s="35"/>
      <c r="AC27" s="35"/>
      <c r="AD27" s="35"/>
      <c r="AE27" s="35">
        <f>IFERROR(__xludf.DUMMYFUNCTION("""COMPUTED_VALUE"""),0.0)</f>
        <v>0</v>
      </c>
      <c r="AF27" s="35">
        <f>IFERROR(__xludf.DUMMYFUNCTION("""COMPUTED_VALUE"""),5.0)</f>
        <v>5</v>
      </c>
      <c r="AG27" s="35">
        <f>IFERROR(__xludf.DUMMYFUNCTION("""COMPUTED_VALUE"""),5.0)</f>
        <v>5</v>
      </c>
      <c r="AH27" s="35">
        <f>IFERROR(__xludf.DUMMYFUNCTION("""COMPUTED_VALUE"""),5.0)</f>
        <v>5</v>
      </c>
      <c r="AI27" s="35">
        <f>IFERROR(__xludf.DUMMYFUNCTION("""COMPUTED_VALUE"""),5.0)</f>
        <v>5</v>
      </c>
      <c r="AJ27" s="35">
        <f>IFERROR(__xludf.DUMMYFUNCTION("""COMPUTED_VALUE"""),5.0)</f>
        <v>5</v>
      </c>
      <c r="AK27" s="35">
        <f>IFERROR(__xludf.DUMMYFUNCTION("""COMPUTED_VALUE"""),5.0)</f>
        <v>5</v>
      </c>
      <c r="AL27" s="35">
        <f>IFERROR(__xludf.DUMMYFUNCTION("""COMPUTED_VALUE"""),0.0)</f>
        <v>0</v>
      </c>
      <c r="AM27" s="35"/>
      <c r="AN27" s="36">
        <f>IFERROR(__xludf.DUMMYFUNCTION("""COMPUTED_VALUE"""),1.5)</f>
        <v>1.5</v>
      </c>
      <c r="AO27" s="22">
        <f>IFERROR(__xludf.DUMMYFUNCTION("""COMPUTED_VALUE"""),3.0)</f>
        <v>3</v>
      </c>
      <c r="AP27" s="22">
        <f>IFERROR(__xludf.DUMMYFUNCTION("""COMPUTED_VALUE"""),12.666666666666666)</f>
        <v>12.66666667</v>
      </c>
      <c r="AQ27" s="37">
        <f>IFERROR(__xludf.DUMMYFUNCTION("""COMPUTED_VALUE"""),17.25)</f>
        <v>17.25</v>
      </c>
    </row>
    <row r="28">
      <c r="A28" s="18">
        <f>IFERROR(__xludf.DUMMYFUNCTION("""COMPUTED_VALUE"""),18.0)</f>
        <v>18</v>
      </c>
      <c r="B28" s="32" t="str">
        <f>IFERROR(__xludf.DUMMYFUNCTION("""COMPUTED_VALUE"""),"1000056736")</f>
        <v>1000056736</v>
      </c>
      <c r="C28" s="18" t="str">
        <f>IFERROR(__xludf.DUMMYFUNCTION("""COMPUTED_VALUE"""),"MD SAZEDUL ISLAM SHANTO")</f>
        <v>MD SAZEDUL ISLAM SHANTO</v>
      </c>
      <c r="D28" s="15" t="str">
        <f>IFERROR(__xludf.DUMMYFUNCTION("""COMPUTED_VALUE"""),"CSE")</f>
        <v>CSE</v>
      </c>
      <c r="E28" s="15" t="str">
        <f>IFERROR(__xludf.DUMMYFUNCTION("""COMPUTED_VALUE"""),"shantoislam1015@gmail.com")</f>
        <v>shantoislam1015@gmail.com</v>
      </c>
      <c r="F28" s="33">
        <f>IFERROR(__xludf.DUMMYFUNCTION("""COMPUTED_VALUE"""),8.801930219231E12)</f>
        <v>8801930219231</v>
      </c>
      <c r="G28" s="22">
        <f>IFERROR(__xludf.DUMMYFUNCTION("""COMPUTED_VALUE"""),1.0)</f>
        <v>1</v>
      </c>
      <c r="H28" s="34">
        <f>IFERROR(__xludf.DUMMYFUNCTION("""COMPUTED_VALUE"""),0.9)</f>
        <v>0.9</v>
      </c>
      <c r="I28" s="35">
        <f>IFERROR(__xludf.DUMMYFUNCTION("""COMPUTED_VALUE"""),0.0)</f>
        <v>0</v>
      </c>
      <c r="J28" s="35"/>
      <c r="K28" s="35">
        <f>IFERROR(__xludf.DUMMYFUNCTION("""COMPUTED_VALUE"""),1.0)</f>
        <v>1</v>
      </c>
      <c r="L28" s="35">
        <f>IFERROR(__xludf.DUMMYFUNCTION("""COMPUTED_VALUE"""),5.0)</f>
        <v>5</v>
      </c>
      <c r="M28" s="35">
        <f>IFERROR(__xludf.DUMMYFUNCTION("""COMPUTED_VALUE"""),1.0)</f>
        <v>1</v>
      </c>
      <c r="N28" s="35">
        <f>IFERROR(__xludf.DUMMYFUNCTION("""COMPUTED_VALUE"""),8.0)</f>
        <v>8</v>
      </c>
      <c r="O28" s="35">
        <f>IFERROR(__xludf.DUMMYFUNCTION("""COMPUTED_VALUE"""),1.0)</f>
        <v>1</v>
      </c>
      <c r="P28" s="35"/>
      <c r="Q28" s="35">
        <f>IFERROR(__xludf.DUMMYFUNCTION("""COMPUTED_VALUE"""),1.0)</f>
        <v>1</v>
      </c>
      <c r="R28" s="35">
        <f>IFERROR(__xludf.DUMMYFUNCTION("""COMPUTED_VALUE"""),7.0)</f>
        <v>7</v>
      </c>
      <c r="S28" s="35">
        <f>IFERROR(__xludf.DUMMYFUNCTION("""COMPUTED_VALUE"""),1.0)</f>
        <v>1</v>
      </c>
      <c r="T28" s="35">
        <f>IFERROR(__xludf.DUMMYFUNCTION("""COMPUTED_VALUE"""),5.0)</f>
        <v>5</v>
      </c>
      <c r="U28" s="35">
        <f>IFERROR(__xludf.DUMMYFUNCTION("""COMPUTED_VALUE"""),1.0)</f>
        <v>1</v>
      </c>
      <c r="V28" s="35">
        <f>IFERROR(__xludf.DUMMYFUNCTION("""COMPUTED_VALUE"""),8.0)</f>
        <v>8</v>
      </c>
      <c r="W28" s="35">
        <f>IFERROR(__xludf.DUMMYFUNCTION("""COMPUTED_VALUE"""),1.0)</f>
        <v>1</v>
      </c>
      <c r="X28" s="35">
        <f>IFERROR(__xludf.DUMMYFUNCTION("""COMPUTED_VALUE"""),7.0)</f>
        <v>7</v>
      </c>
      <c r="Y28" s="35">
        <f>IFERROR(__xludf.DUMMYFUNCTION("""COMPUTED_VALUE"""),0.0)</f>
        <v>0</v>
      </c>
      <c r="Z28" s="35"/>
      <c r="AA28" s="35"/>
      <c r="AB28" s="35"/>
      <c r="AC28" s="35"/>
      <c r="AD28" s="35"/>
      <c r="AE28" s="35">
        <f>IFERROR(__xludf.DUMMYFUNCTION("""COMPUTED_VALUE"""),0.0)</f>
        <v>0</v>
      </c>
      <c r="AF28" s="35">
        <f>IFERROR(__xludf.DUMMYFUNCTION("""COMPUTED_VALUE"""),5.0)</f>
        <v>5</v>
      </c>
      <c r="AG28" s="35">
        <f>IFERROR(__xludf.DUMMYFUNCTION("""COMPUTED_VALUE"""),5.0)</f>
        <v>5</v>
      </c>
      <c r="AH28" s="35">
        <f>IFERROR(__xludf.DUMMYFUNCTION("""COMPUTED_VALUE"""),0.0)</f>
        <v>0</v>
      </c>
      <c r="AI28" s="35">
        <f>IFERROR(__xludf.DUMMYFUNCTION("""COMPUTED_VALUE"""),0.0)</f>
        <v>0</v>
      </c>
      <c r="AJ28" s="35">
        <f>IFERROR(__xludf.DUMMYFUNCTION("""COMPUTED_VALUE"""),0.0)</f>
        <v>0</v>
      </c>
      <c r="AK28" s="35">
        <f>IFERROR(__xludf.DUMMYFUNCTION("""COMPUTED_VALUE"""),0.0)</f>
        <v>0</v>
      </c>
      <c r="AL28" s="35">
        <f>IFERROR(__xludf.DUMMYFUNCTION("""COMPUTED_VALUE"""),0.0)</f>
        <v>0</v>
      </c>
      <c r="AM28" s="35"/>
      <c r="AN28" s="36">
        <f>IFERROR(__xludf.DUMMYFUNCTION("""COMPUTED_VALUE"""),0.5)</f>
        <v>0.5</v>
      </c>
      <c r="AO28" s="22">
        <f>IFERROR(__xludf.DUMMYFUNCTION("""COMPUTED_VALUE"""),3.0)</f>
        <v>3</v>
      </c>
      <c r="AP28" s="22">
        <f>IFERROR(__xludf.DUMMYFUNCTION("""COMPUTED_VALUE"""),15.333333333333334)</f>
        <v>15.33333333</v>
      </c>
      <c r="AQ28" s="37">
        <f>IFERROR(__xludf.DUMMYFUNCTION("""COMPUTED_VALUE"""),19.0)</f>
        <v>19</v>
      </c>
    </row>
    <row r="29">
      <c r="A29" s="47">
        <f>IFERROR(__xludf.DUMMYFUNCTION("""COMPUTED_VALUE"""),19.0)</f>
        <v>19</v>
      </c>
      <c r="B29" s="48" t="str">
        <f>IFERROR(__xludf.DUMMYFUNCTION("""COMPUTED_VALUE"""),"1000056973")</f>
        <v>1000056973</v>
      </c>
      <c r="C29" s="47" t="str">
        <f>IFERROR(__xludf.DUMMYFUNCTION("""COMPUTED_VALUE"""),"TAHMID AHMED")</f>
        <v>TAHMID AHMED</v>
      </c>
      <c r="D29" s="49" t="str">
        <f>IFERROR(__xludf.DUMMYFUNCTION("""COMPUTED_VALUE"""),"CSE")</f>
        <v>CSE</v>
      </c>
      <c r="E29" s="49" t="str">
        <f>IFERROR(__xludf.DUMMYFUNCTION("""COMPUTED_VALUE"""),"tahmina043403@gmail.com")</f>
        <v>tahmina043403@gmail.com</v>
      </c>
      <c r="F29" s="50">
        <f>IFERROR(__xludf.DUMMYFUNCTION("""COMPUTED_VALUE"""),8.80192573088E12)</f>
        <v>8801925730880</v>
      </c>
      <c r="G29" s="51">
        <f>IFERROR(__xludf.DUMMYFUNCTION("""COMPUTED_VALUE"""),2.0)</f>
        <v>2</v>
      </c>
      <c r="H29" s="52">
        <f>IFERROR(__xludf.DUMMYFUNCTION("""COMPUTED_VALUE"""),0.75)</f>
        <v>0.75</v>
      </c>
      <c r="I29" s="53">
        <f>IFERROR(__xludf.DUMMYFUNCTION("""COMPUTED_VALUE"""),1.0)</f>
        <v>1</v>
      </c>
      <c r="J29" s="53"/>
      <c r="K29" s="53">
        <f>IFERROR(__xludf.DUMMYFUNCTION("""COMPUTED_VALUE"""),1.0)</f>
        <v>1</v>
      </c>
      <c r="L29" s="53">
        <f>IFERROR(__xludf.DUMMYFUNCTION("""COMPUTED_VALUE"""),5.0)</f>
        <v>5</v>
      </c>
      <c r="M29" s="53">
        <f>IFERROR(__xludf.DUMMYFUNCTION("""COMPUTED_VALUE"""),1.0)</f>
        <v>1</v>
      </c>
      <c r="N29" s="53">
        <f>IFERROR(__xludf.DUMMYFUNCTION("""COMPUTED_VALUE"""),7.0)</f>
        <v>7</v>
      </c>
      <c r="O29" s="53">
        <f>IFERROR(__xludf.DUMMYFUNCTION("""COMPUTED_VALUE"""),0.0)</f>
        <v>0</v>
      </c>
      <c r="P29" s="53"/>
      <c r="Q29" s="53">
        <f>IFERROR(__xludf.DUMMYFUNCTION("""COMPUTED_VALUE"""),1.0)</f>
        <v>1</v>
      </c>
      <c r="R29" s="53">
        <f>IFERROR(__xludf.DUMMYFUNCTION("""COMPUTED_VALUE"""),8.0)</f>
        <v>8</v>
      </c>
      <c r="S29" s="53">
        <f>IFERROR(__xludf.DUMMYFUNCTION("""COMPUTED_VALUE"""),1.0)</f>
        <v>1</v>
      </c>
      <c r="T29" s="53">
        <f>IFERROR(__xludf.DUMMYFUNCTION("""COMPUTED_VALUE"""),5.0)</f>
        <v>5</v>
      </c>
      <c r="U29" s="53"/>
      <c r="V29" s="53"/>
      <c r="W29" s="53"/>
      <c r="X29" s="53"/>
      <c r="Y29" s="53">
        <f>IFERROR(__xludf.DUMMYFUNCTION("""COMPUTED_VALUE"""),0.0)</f>
        <v>0</v>
      </c>
      <c r="Z29" s="53"/>
      <c r="AA29" s="53"/>
      <c r="AB29" s="53"/>
      <c r="AC29" s="53"/>
      <c r="AD29" s="53"/>
      <c r="AE29" s="53">
        <f>IFERROR(__xludf.DUMMYFUNCTION("""COMPUTED_VALUE"""),5.0)</f>
        <v>5</v>
      </c>
      <c r="AF29" s="53">
        <f>IFERROR(__xludf.DUMMYFUNCTION("""COMPUTED_VALUE"""),5.0)</f>
        <v>5</v>
      </c>
      <c r="AG29" s="53">
        <f>IFERROR(__xludf.DUMMYFUNCTION("""COMPUTED_VALUE"""),5.0)</f>
        <v>5</v>
      </c>
      <c r="AH29" s="53">
        <f>IFERROR(__xludf.DUMMYFUNCTION("""COMPUTED_VALUE"""),0.0)</f>
        <v>0</v>
      </c>
      <c r="AI29" s="53">
        <f>IFERROR(__xludf.DUMMYFUNCTION("""COMPUTED_VALUE"""),0.0)</f>
        <v>0</v>
      </c>
      <c r="AJ29" s="53">
        <f>IFERROR(__xludf.DUMMYFUNCTION("""COMPUTED_VALUE"""),0.0)</f>
        <v>0</v>
      </c>
      <c r="AK29" s="53">
        <f>IFERROR(__xludf.DUMMYFUNCTION("""COMPUTED_VALUE"""),0.0)</f>
        <v>0</v>
      </c>
      <c r="AL29" s="53">
        <f>IFERROR(__xludf.DUMMYFUNCTION("""COMPUTED_VALUE"""),0.0)</f>
        <v>0</v>
      </c>
      <c r="AM29" s="53"/>
      <c r="AN29" s="54">
        <f>IFERROR(__xludf.DUMMYFUNCTION("""COMPUTED_VALUE"""),0.75)</f>
        <v>0.75</v>
      </c>
      <c r="AO29" s="51">
        <f>IFERROR(__xludf.DUMMYFUNCTION("""COMPUTED_VALUE"""),3.0)</f>
        <v>3</v>
      </c>
      <c r="AP29" s="51">
        <f>IFERROR(__xludf.DUMMYFUNCTION("""COMPUTED_VALUE"""),10.0)</f>
        <v>10</v>
      </c>
      <c r="AQ29" s="55">
        <f>IFERROR(__xludf.DUMMYFUNCTION("""COMPUTED_VALUE"""),13.75)</f>
        <v>13.75</v>
      </c>
      <c r="AR29" s="49"/>
      <c r="AS29" s="49"/>
      <c r="AT29" s="49"/>
      <c r="AU29" s="49"/>
      <c r="AV29" s="49"/>
      <c r="AW29" s="49"/>
      <c r="AX29" s="49"/>
      <c r="AY29" s="49"/>
      <c r="AZ29" s="49"/>
      <c r="BA29" s="49"/>
    </row>
    <row r="30">
      <c r="A30" s="18">
        <f>IFERROR(__xludf.DUMMYFUNCTION("""COMPUTED_VALUE"""),20.0)</f>
        <v>20</v>
      </c>
      <c r="B30" s="32" t="str">
        <f>IFERROR(__xludf.DUMMYFUNCTION("""COMPUTED_VALUE"""),"1000057015")</f>
        <v>1000057015</v>
      </c>
      <c r="C30" s="18" t="str">
        <f>IFERROR(__xludf.DUMMYFUNCTION("""COMPUTED_VALUE"""),"Priyabrata Saha")</f>
        <v>Priyabrata Saha</v>
      </c>
      <c r="D30" s="15" t="str">
        <f>IFERROR(__xludf.DUMMYFUNCTION("""COMPUTED_VALUE"""),"EEE")</f>
        <v>EEE</v>
      </c>
      <c r="E30" s="15" t="str">
        <f>IFERROR(__xludf.DUMMYFUNCTION("""COMPUTED_VALUE"""),"priyabrata.saha@g.bracu.ac.bd")</f>
        <v>priyabrata.saha@g.bracu.ac.bd</v>
      </c>
      <c r="F30" s="33">
        <f>IFERROR(__xludf.DUMMYFUNCTION("""COMPUTED_VALUE"""),8.80178482724E12)</f>
        <v>8801784827240</v>
      </c>
      <c r="G30" s="22">
        <f>IFERROR(__xludf.DUMMYFUNCTION("""COMPUTED_VALUE"""),1.0)</f>
        <v>1</v>
      </c>
      <c r="H30" s="34">
        <f>IFERROR(__xludf.DUMMYFUNCTION("""COMPUTED_VALUE"""),0.9)</f>
        <v>0.9</v>
      </c>
      <c r="I30" s="35">
        <f>IFERROR(__xludf.DUMMYFUNCTION("""COMPUTED_VALUE"""),1.0)</f>
        <v>1</v>
      </c>
      <c r="J30" s="35"/>
      <c r="K30" s="35">
        <f>IFERROR(__xludf.DUMMYFUNCTION("""COMPUTED_VALUE"""),1.0)</f>
        <v>1</v>
      </c>
      <c r="L30" s="35">
        <f>IFERROR(__xludf.DUMMYFUNCTION("""COMPUTED_VALUE"""),5.0)</f>
        <v>5</v>
      </c>
      <c r="M30" s="35">
        <f>IFERROR(__xludf.DUMMYFUNCTION("""COMPUTED_VALUE"""),1.0)</f>
        <v>1</v>
      </c>
      <c r="N30" s="35">
        <f>IFERROR(__xludf.DUMMYFUNCTION("""COMPUTED_VALUE"""),5.0)</f>
        <v>5</v>
      </c>
      <c r="O30" s="35">
        <f>IFERROR(__xludf.DUMMYFUNCTION("""COMPUTED_VALUE"""),0.0)</f>
        <v>0</v>
      </c>
      <c r="P30" s="35"/>
      <c r="Q30" s="35">
        <f>IFERROR(__xludf.DUMMYFUNCTION("""COMPUTED_VALUE"""),1.0)</f>
        <v>1</v>
      </c>
      <c r="R30" s="35">
        <f>IFERROR(__xludf.DUMMYFUNCTION("""COMPUTED_VALUE"""),2.0)</f>
        <v>2</v>
      </c>
      <c r="S30" s="35">
        <f>IFERROR(__xludf.DUMMYFUNCTION("""COMPUTED_VALUE"""),1.0)</f>
        <v>1</v>
      </c>
      <c r="T30" s="35">
        <f>IFERROR(__xludf.DUMMYFUNCTION("""COMPUTED_VALUE"""),4.0)</f>
        <v>4</v>
      </c>
      <c r="U30" s="35">
        <f>IFERROR(__xludf.DUMMYFUNCTION("""COMPUTED_VALUE"""),1.0)</f>
        <v>1</v>
      </c>
      <c r="V30" s="35">
        <f>IFERROR(__xludf.DUMMYFUNCTION("""COMPUTED_VALUE"""),3.0)</f>
        <v>3</v>
      </c>
      <c r="W30" s="35">
        <f>IFERROR(__xludf.DUMMYFUNCTION("""COMPUTED_VALUE"""),1.0)</f>
        <v>1</v>
      </c>
      <c r="X30" s="35">
        <f>IFERROR(__xludf.DUMMYFUNCTION("""COMPUTED_VALUE"""),3.0)</f>
        <v>3</v>
      </c>
      <c r="Y30" s="35">
        <f>IFERROR(__xludf.DUMMYFUNCTION("""COMPUTED_VALUE"""),1.0)</f>
        <v>1</v>
      </c>
      <c r="Z30" s="35"/>
      <c r="AA30" s="35"/>
      <c r="AB30" s="35"/>
      <c r="AC30" s="35"/>
      <c r="AD30" s="35"/>
      <c r="AE30" s="35">
        <f>IFERROR(__xludf.DUMMYFUNCTION("""COMPUTED_VALUE"""),5.0)</f>
        <v>5</v>
      </c>
      <c r="AF30" s="35">
        <f>IFERROR(__xludf.DUMMYFUNCTION("""COMPUTED_VALUE"""),5.0)</f>
        <v>5</v>
      </c>
      <c r="AG30" s="35">
        <f>IFERROR(__xludf.DUMMYFUNCTION("""COMPUTED_VALUE"""),0.0)</f>
        <v>0</v>
      </c>
      <c r="AH30" s="35">
        <f>IFERROR(__xludf.DUMMYFUNCTION("""COMPUTED_VALUE"""),5.0)</f>
        <v>5</v>
      </c>
      <c r="AI30" s="35">
        <f>IFERROR(__xludf.DUMMYFUNCTION("""COMPUTED_VALUE"""),5.0)</f>
        <v>5</v>
      </c>
      <c r="AJ30" s="35">
        <f>IFERROR(__xludf.DUMMYFUNCTION("""COMPUTED_VALUE"""),5.0)</f>
        <v>5</v>
      </c>
      <c r="AK30" s="35">
        <f>IFERROR(__xludf.DUMMYFUNCTION("""COMPUTED_VALUE"""),0.0)</f>
        <v>0</v>
      </c>
      <c r="AL30" s="35">
        <f>IFERROR(__xludf.DUMMYFUNCTION("""COMPUTED_VALUE"""),5.0)</f>
        <v>5</v>
      </c>
      <c r="AM30" s="35"/>
      <c r="AN30" s="36">
        <f>IFERROR(__xludf.DUMMYFUNCTION("""COMPUTED_VALUE"""),1.5)</f>
        <v>1.5</v>
      </c>
      <c r="AO30" s="22">
        <f>IFERROR(__xludf.DUMMYFUNCTION("""COMPUTED_VALUE"""),2.7)</f>
        <v>2.7</v>
      </c>
      <c r="AP30" s="22">
        <f>IFERROR(__xludf.DUMMYFUNCTION("""COMPUTED_VALUE"""),7.333333333333333)</f>
        <v>7.333333333</v>
      </c>
      <c r="AQ30" s="37">
        <f>IFERROR(__xludf.DUMMYFUNCTION("""COMPUTED_VALUE"""),11.75)</f>
        <v>11.75</v>
      </c>
    </row>
    <row r="31">
      <c r="A31" s="18">
        <f>IFERROR(__xludf.DUMMYFUNCTION("""COMPUTED_VALUE"""),21.0)</f>
        <v>21</v>
      </c>
      <c r="B31" s="32" t="str">
        <f>IFERROR(__xludf.DUMMYFUNCTION("""COMPUTED_VALUE"""),"1000057055")</f>
        <v>1000057055</v>
      </c>
      <c r="C31" s="18" t="str">
        <f>IFERROR(__xludf.DUMMYFUNCTION("""COMPUTED_VALUE"""),"Maisha Maliha")</f>
        <v>Maisha Maliha</v>
      </c>
      <c r="D31" s="15" t="str">
        <f>IFERROR(__xludf.DUMMYFUNCTION("""COMPUTED_VALUE"""),"CSE")</f>
        <v>CSE</v>
      </c>
      <c r="E31" s="15" t="str">
        <f>IFERROR(__xludf.DUMMYFUNCTION("""COMPUTED_VALUE"""),"Malihamaisha2004@gmail.com")</f>
        <v>Malihamaisha2004@gmail.com</v>
      </c>
      <c r="F31" s="33">
        <f>IFERROR(__xludf.DUMMYFUNCTION("""COMPUTED_VALUE"""),8.801877828112E12)</f>
        <v>8801877828112</v>
      </c>
      <c r="G31" s="22">
        <f>IFERROR(__xludf.DUMMYFUNCTION("""COMPUTED_VALUE"""),0.0)</f>
        <v>0</v>
      </c>
      <c r="H31" s="34">
        <f>IFERROR(__xludf.DUMMYFUNCTION("""COMPUTED_VALUE"""),1.0)</f>
        <v>1</v>
      </c>
      <c r="I31" s="35">
        <f>IFERROR(__xludf.DUMMYFUNCTION("""COMPUTED_VALUE"""),1.0)</f>
        <v>1</v>
      </c>
      <c r="J31" s="35"/>
      <c r="K31" s="35">
        <f>IFERROR(__xludf.DUMMYFUNCTION("""COMPUTED_VALUE"""),1.0)</f>
        <v>1</v>
      </c>
      <c r="L31" s="35">
        <f>IFERROR(__xludf.DUMMYFUNCTION("""COMPUTED_VALUE"""),4.0)</f>
        <v>4</v>
      </c>
      <c r="M31" s="35">
        <f>IFERROR(__xludf.DUMMYFUNCTION("""COMPUTED_VALUE"""),1.0)</f>
        <v>1</v>
      </c>
      <c r="N31" s="35">
        <f>IFERROR(__xludf.DUMMYFUNCTION("""COMPUTED_VALUE"""),8.0)</f>
        <v>8</v>
      </c>
      <c r="O31" s="35">
        <f>IFERROR(__xludf.DUMMYFUNCTION("""COMPUTED_VALUE"""),1.0)</f>
        <v>1</v>
      </c>
      <c r="P31" s="35"/>
      <c r="Q31" s="35">
        <f>IFERROR(__xludf.DUMMYFUNCTION("""COMPUTED_VALUE"""),1.0)</f>
        <v>1</v>
      </c>
      <c r="R31" s="35">
        <f>IFERROR(__xludf.DUMMYFUNCTION("""COMPUTED_VALUE"""),9.0)</f>
        <v>9</v>
      </c>
      <c r="S31" s="35">
        <f>IFERROR(__xludf.DUMMYFUNCTION("""COMPUTED_VALUE"""),1.0)</f>
        <v>1</v>
      </c>
      <c r="T31" s="35">
        <f>IFERROR(__xludf.DUMMYFUNCTION("""COMPUTED_VALUE"""),5.0)</f>
        <v>5</v>
      </c>
      <c r="U31" s="35">
        <f>IFERROR(__xludf.DUMMYFUNCTION("""COMPUTED_VALUE"""),1.0)</f>
        <v>1</v>
      </c>
      <c r="V31" s="35">
        <f>IFERROR(__xludf.DUMMYFUNCTION("""COMPUTED_VALUE"""),9.0)</f>
        <v>9</v>
      </c>
      <c r="W31" s="35">
        <f>IFERROR(__xludf.DUMMYFUNCTION("""COMPUTED_VALUE"""),1.0)</f>
        <v>1</v>
      </c>
      <c r="X31" s="35">
        <f>IFERROR(__xludf.DUMMYFUNCTION("""COMPUTED_VALUE"""),6.0)</f>
        <v>6</v>
      </c>
      <c r="Y31" s="35">
        <f>IFERROR(__xludf.DUMMYFUNCTION("""COMPUTED_VALUE"""),1.0)</f>
        <v>1</v>
      </c>
      <c r="Z31" s="35"/>
      <c r="AA31" s="35"/>
      <c r="AB31" s="35"/>
      <c r="AC31" s="35"/>
      <c r="AD31" s="35"/>
      <c r="AE31" s="35">
        <f>IFERROR(__xludf.DUMMYFUNCTION("""COMPUTED_VALUE"""),5.0)</f>
        <v>5</v>
      </c>
      <c r="AF31" s="35">
        <f>IFERROR(__xludf.DUMMYFUNCTION("""COMPUTED_VALUE"""),5.0)</f>
        <v>5</v>
      </c>
      <c r="AG31" s="35">
        <f>IFERROR(__xludf.DUMMYFUNCTION("""COMPUTED_VALUE"""),5.0)</f>
        <v>5</v>
      </c>
      <c r="AH31" s="35">
        <f>IFERROR(__xludf.DUMMYFUNCTION("""COMPUTED_VALUE"""),5.0)</f>
        <v>5</v>
      </c>
      <c r="AI31" s="35">
        <f>IFERROR(__xludf.DUMMYFUNCTION("""COMPUTED_VALUE"""),5.0)</f>
        <v>5</v>
      </c>
      <c r="AJ31" s="35">
        <f>IFERROR(__xludf.DUMMYFUNCTION("""COMPUTED_VALUE"""),5.0)</f>
        <v>5</v>
      </c>
      <c r="AK31" s="35">
        <f>IFERROR(__xludf.DUMMYFUNCTION("""COMPUTED_VALUE"""),5.0)</f>
        <v>5</v>
      </c>
      <c r="AL31" s="35">
        <f>IFERROR(__xludf.DUMMYFUNCTION("""COMPUTED_VALUE"""),5.0)</f>
        <v>5</v>
      </c>
      <c r="AM31" s="35"/>
      <c r="AN31" s="36">
        <f>IFERROR(__xludf.DUMMYFUNCTION("""COMPUTED_VALUE"""),2.0)</f>
        <v>2</v>
      </c>
      <c r="AO31" s="22">
        <f>IFERROR(__xludf.DUMMYFUNCTION("""COMPUTED_VALUE"""),2.7)</f>
        <v>2.7</v>
      </c>
      <c r="AP31" s="22">
        <f>IFERROR(__xludf.DUMMYFUNCTION("""COMPUTED_VALUE"""),17.333333333333332)</f>
        <v>17.33333333</v>
      </c>
      <c r="AQ31" s="37">
        <f>IFERROR(__xludf.DUMMYFUNCTION("""COMPUTED_VALUE"""),22.25)</f>
        <v>22.25</v>
      </c>
    </row>
    <row r="32">
      <c r="A32" s="18">
        <f>IFERROR(__xludf.DUMMYFUNCTION("""COMPUTED_VALUE"""),22.0)</f>
        <v>22</v>
      </c>
      <c r="B32" s="32" t="str">
        <f>IFERROR(__xludf.DUMMYFUNCTION("""COMPUTED_VALUE"""),"1000057525")</f>
        <v>1000057525</v>
      </c>
      <c r="C32" s="18" t="str">
        <f>IFERROR(__xludf.DUMMYFUNCTION("""COMPUTED_VALUE"""),"Anusheho Amin Troyee")</f>
        <v>Anusheho Amin Troyee</v>
      </c>
      <c r="D32" s="15" t="str">
        <f>IFERROR(__xludf.DUMMYFUNCTION("""COMPUTED_VALUE"""),"CSE")</f>
        <v>CSE</v>
      </c>
      <c r="E32" s="15" t="str">
        <f>IFERROR(__xludf.DUMMYFUNCTION("""COMPUTED_VALUE"""),"troyee.amin@gmail.com")</f>
        <v>troyee.amin@gmail.com</v>
      </c>
      <c r="F32" s="33">
        <f>IFERROR(__xludf.DUMMYFUNCTION("""COMPUTED_VALUE"""),8.801777656119E12)</f>
        <v>8801777656119</v>
      </c>
      <c r="G32" s="22">
        <f>IFERROR(__xludf.DUMMYFUNCTION("""COMPUTED_VALUE"""),0.0)</f>
        <v>0</v>
      </c>
      <c r="H32" s="34">
        <f>IFERROR(__xludf.DUMMYFUNCTION("""COMPUTED_VALUE"""),1.0)</f>
        <v>1</v>
      </c>
      <c r="I32" s="35">
        <f>IFERROR(__xludf.DUMMYFUNCTION("""COMPUTED_VALUE"""),1.0)</f>
        <v>1</v>
      </c>
      <c r="J32" s="35"/>
      <c r="K32" s="35">
        <f>IFERROR(__xludf.DUMMYFUNCTION("""COMPUTED_VALUE"""),1.0)</f>
        <v>1</v>
      </c>
      <c r="L32" s="35">
        <f>IFERROR(__xludf.DUMMYFUNCTION("""COMPUTED_VALUE"""),3.0)</f>
        <v>3</v>
      </c>
      <c r="M32" s="35">
        <f>IFERROR(__xludf.DUMMYFUNCTION("""COMPUTED_VALUE"""),1.0)</f>
        <v>1</v>
      </c>
      <c r="N32" s="35">
        <f>IFERROR(__xludf.DUMMYFUNCTION("""COMPUTED_VALUE"""),6.0)</f>
        <v>6</v>
      </c>
      <c r="O32" s="35">
        <f>IFERROR(__xludf.DUMMYFUNCTION("""COMPUTED_VALUE"""),1.0)</f>
        <v>1</v>
      </c>
      <c r="P32" s="35"/>
      <c r="Q32" s="35">
        <f>IFERROR(__xludf.DUMMYFUNCTION("""COMPUTED_VALUE"""),1.0)</f>
        <v>1</v>
      </c>
      <c r="R32" s="35">
        <f>IFERROR(__xludf.DUMMYFUNCTION("""COMPUTED_VALUE"""),7.0)</f>
        <v>7</v>
      </c>
      <c r="S32" s="35">
        <f>IFERROR(__xludf.DUMMYFUNCTION("""COMPUTED_VALUE"""),1.0)</f>
        <v>1</v>
      </c>
      <c r="T32" s="35">
        <f>IFERROR(__xludf.DUMMYFUNCTION("""COMPUTED_VALUE"""),4.75)</f>
        <v>4.75</v>
      </c>
      <c r="U32" s="35">
        <f>IFERROR(__xludf.DUMMYFUNCTION("""COMPUTED_VALUE"""),1.0)</f>
        <v>1</v>
      </c>
      <c r="V32" s="35">
        <f>IFERROR(__xludf.DUMMYFUNCTION("""COMPUTED_VALUE"""),5.0)</f>
        <v>5</v>
      </c>
      <c r="W32" s="35">
        <f>IFERROR(__xludf.DUMMYFUNCTION("""COMPUTED_VALUE"""),1.0)</f>
        <v>1</v>
      </c>
      <c r="X32" s="35">
        <f>IFERROR(__xludf.DUMMYFUNCTION("""COMPUTED_VALUE"""),6.0)</f>
        <v>6</v>
      </c>
      <c r="Y32" s="35"/>
      <c r="Z32" s="35"/>
      <c r="AA32" s="35"/>
      <c r="AB32" s="35"/>
      <c r="AC32" s="35"/>
      <c r="AD32" s="35"/>
      <c r="AE32" s="35">
        <f>IFERROR(__xludf.DUMMYFUNCTION("""COMPUTED_VALUE"""),5.0)</f>
        <v>5</v>
      </c>
      <c r="AF32" s="35">
        <f>IFERROR(__xludf.DUMMYFUNCTION("""COMPUTED_VALUE"""),5.0)</f>
        <v>5</v>
      </c>
      <c r="AG32" s="35">
        <f>IFERROR(__xludf.DUMMYFUNCTION("""COMPUTED_VALUE"""),5.0)</f>
        <v>5</v>
      </c>
      <c r="AH32" s="35">
        <f>IFERROR(__xludf.DUMMYFUNCTION("""COMPUTED_VALUE"""),5.0)</f>
        <v>5</v>
      </c>
      <c r="AI32" s="35">
        <f>IFERROR(__xludf.DUMMYFUNCTION("""COMPUTED_VALUE"""),5.0)</f>
        <v>5</v>
      </c>
      <c r="AJ32" s="35">
        <f>IFERROR(__xludf.DUMMYFUNCTION("""COMPUTED_VALUE"""),5.0)</f>
        <v>5</v>
      </c>
      <c r="AK32" s="35">
        <f>IFERROR(__xludf.DUMMYFUNCTION("""COMPUTED_VALUE"""),5.0)</f>
        <v>5</v>
      </c>
      <c r="AL32" s="35">
        <f>IFERROR(__xludf.DUMMYFUNCTION("""COMPUTED_VALUE"""),0.0)</f>
        <v>0</v>
      </c>
      <c r="AM32" s="35"/>
      <c r="AN32" s="36">
        <f>IFERROR(__xludf.DUMMYFUNCTION("""COMPUTED_VALUE"""),1.75)</f>
        <v>1.75</v>
      </c>
      <c r="AO32" s="22">
        <f>IFERROR(__xludf.DUMMYFUNCTION("""COMPUTED_VALUE"""),2.325)</f>
        <v>2.325</v>
      </c>
      <c r="AP32" s="22">
        <f>IFERROR(__xludf.DUMMYFUNCTION("""COMPUTED_VALUE"""),12.666666666666666)</f>
        <v>12.66666667</v>
      </c>
      <c r="AQ32" s="37">
        <f>IFERROR(__xludf.DUMMYFUNCTION("""COMPUTED_VALUE"""),16.75)</f>
        <v>16.75</v>
      </c>
    </row>
    <row r="33">
      <c r="A33" s="18">
        <f>IFERROR(__xludf.DUMMYFUNCTION("""COMPUTED_VALUE"""),23.0)</f>
        <v>23</v>
      </c>
      <c r="B33" s="32" t="str">
        <f>IFERROR(__xludf.DUMMYFUNCTION("""COMPUTED_VALUE"""),"1000057549")</f>
        <v>1000057549</v>
      </c>
      <c r="C33" s="18" t="str">
        <f>IFERROR(__xludf.DUMMYFUNCTION("""COMPUTED_VALUE"""),"MD. MOHIMENUL ALAM JAWAD")</f>
        <v>MD. MOHIMENUL ALAM JAWAD</v>
      </c>
      <c r="D33" s="15" t="str">
        <f>IFERROR(__xludf.DUMMYFUNCTION("""COMPUTED_VALUE"""),"CSE")</f>
        <v>CSE</v>
      </c>
      <c r="E33" s="15" t="str">
        <f>IFERROR(__xludf.DUMMYFUNCTION("""COMPUTED_VALUE"""),"mohimenul.alam.jawad@g.bracu.ac.bd")</f>
        <v>mohimenul.alam.jawad@g.bracu.ac.bd</v>
      </c>
      <c r="F33" s="33">
        <f>IFERROR(__xludf.DUMMYFUNCTION("""COMPUTED_VALUE"""),8.801618384672E12)</f>
        <v>8801618384672</v>
      </c>
      <c r="G33" s="22">
        <f>IFERROR(__xludf.DUMMYFUNCTION("""COMPUTED_VALUE"""),0.0)</f>
        <v>0</v>
      </c>
      <c r="H33" s="34">
        <f>IFERROR(__xludf.DUMMYFUNCTION("""COMPUTED_VALUE"""),1.0)</f>
        <v>1</v>
      </c>
      <c r="I33" s="35">
        <f>IFERROR(__xludf.DUMMYFUNCTION("""COMPUTED_VALUE"""),1.0)</f>
        <v>1</v>
      </c>
      <c r="J33" s="35"/>
      <c r="K33" s="35">
        <f>IFERROR(__xludf.DUMMYFUNCTION("""COMPUTED_VALUE"""),1.0)</f>
        <v>1</v>
      </c>
      <c r="L33" s="35">
        <f>IFERROR(__xludf.DUMMYFUNCTION("""COMPUTED_VALUE"""),5.0)</f>
        <v>5</v>
      </c>
      <c r="M33" s="35">
        <f>IFERROR(__xludf.DUMMYFUNCTION("""COMPUTED_VALUE"""),1.0)</f>
        <v>1</v>
      </c>
      <c r="N33" s="35">
        <f>IFERROR(__xludf.DUMMYFUNCTION("""COMPUTED_VALUE"""),5.0)</f>
        <v>5</v>
      </c>
      <c r="O33" s="35">
        <f>IFERROR(__xludf.DUMMYFUNCTION("""COMPUTED_VALUE"""),1.0)</f>
        <v>1</v>
      </c>
      <c r="P33" s="35"/>
      <c r="Q33" s="35">
        <f>IFERROR(__xludf.DUMMYFUNCTION("""COMPUTED_VALUE"""),1.0)</f>
        <v>1</v>
      </c>
      <c r="R33" s="35">
        <f>IFERROR(__xludf.DUMMYFUNCTION("""COMPUTED_VALUE"""),7.0)</f>
        <v>7</v>
      </c>
      <c r="S33" s="35">
        <f>IFERROR(__xludf.DUMMYFUNCTION("""COMPUTED_VALUE"""),1.0)</f>
        <v>1</v>
      </c>
      <c r="T33" s="35">
        <f>IFERROR(__xludf.DUMMYFUNCTION("""COMPUTED_VALUE"""),5.0)</f>
        <v>5</v>
      </c>
      <c r="U33" s="35">
        <f>IFERROR(__xludf.DUMMYFUNCTION("""COMPUTED_VALUE"""),1.0)</f>
        <v>1</v>
      </c>
      <c r="V33" s="35">
        <f>IFERROR(__xludf.DUMMYFUNCTION("""COMPUTED_VALUE"""),10.0)</f>
        <v>10</v>
      </c>
      <c r="W33" s="35">
        <f>IFERROR(__xludf.DUMMYFUNCTION("""COMPUTED_VALUE"""),1.0)</f>
        <v>1</v>
      </c>
      <c r="X33" s="35">
        <f>IFERROR(__xludf.DUMMYFUNCTION("""COMPUTED_VALUE"""),7.0)</f>
        <v>7</v>
      </c>
      <c r="Y33" s="35">
        <f>IFERROR(__xludf.DUMMYFUNCTION("""COMPUTED_VALUE"""),1.0)</f>
        <v>1</v>
      </c>
      <c r="Z33" s="35"/>
      <c r="AA33" s="35"/>
      <c r="AB33" s="35"/>
      <c r="AC33" s="35"/>
      <c r="AD33" s="35"/>
      <c r="AE33" s="35">
        <f>IFERROR(__xludf.DUMMYFUNCTION("""COMPUTED_VALUE"""),5.0)</f>
        <v>5</v>
      </c>
      <c r="AF33" s="35">
        <f>IFERROR(__xludf.DUMMYFUNCTION("""COMPUTED_VALUE"""),5.0)</f>
        <v>5</v>
      </c>
      <c r="AG33" s="35">
        <f>IFERROR(__xludf.DUMMYFUNCTION("""COMPUTED_VALUE"""),5.0)</f>
        <v>5</v>
      </c>
      <c r="AH33" s="35">
        <f>IFERROR(__xludf.DUMMYFUNCTION("""COMPUTED_VALUE"""),5.0)</f>
        <v>5</v>
      </c>
      <c r="AI33" s="35">
        <f>IFERROR(__xludf.DUMMYFUNCTION("""COMPUTED_VALUE"""),5.0)</f>
        <v>5</v>
      </c>
      <c r="AJ33" s="35">
        <f>IFERROR(__xludf.DUMMYFUNCTION("""COMPUTED_VALUE"""),5.0)</f>
        <v>5</v>
      </c>
      <c r="AK33" s="35">
        <f>IFERROR(__xludf.DUMMYFUNCTION("""COMPUTED_VALUE"""),5.0)</f>
        <v>5</v>
      </c>
      <c r="AL33" s="35">
        <f>IFERROR(__xludf.DUMMYFUNCTION("""COMPUTED_VALUE"""),5.0)</f>
        <v>5</v>
      </c>
      <c r="AM33" s="35"/>
      <c r="AN33" s="36">
        <f>IFERROR(__xludf.DUMMYFUNCTION("""COMPUTED_VALUE"""),2.0)</f>
        <v>2</v>
      </c>
      <c r="AO33" s="22">
        <f>IFERROR(__xludf.DUMMYFUNCTION("""COMPUTED_VALUE"""),3.0)</f>
        <v>3</v>
      </c>
      <c r="AP33" s="22">
        <f>IFERROR(__xludf.DUMMYFUNCTION("""COMPUTED_VALUE"""),16.0)</f>
        <v>16</v>
      </c>
      <c r="AQ33" s="37">
        <f>IFERROR(__xludf.DUMMYFUNCTION("""COMPUTED_VALUE"""),21.0)</f>
        <v>21</v>
      </c>
    </row>
    <row r="34">
      <c r="A34" s="18">
        <f>IFERROR(__xludf.DUMMYFUNCTION("""COMPUTED_VALUE"""),24.0)</f>
        <v>24</v>
      </c>
      <c r="B34" s="32" t="str">
        <f>IFERROR(__xludf.DUMMYFUNCTION("""COMPUTED_VALUE"""),"1000057630")</f>
        <v>1000057630</v>
      </c>
      <c r="C34" s="18" t="str">
        <f>IFERROR(__xludf.DUMMYFUNCTION("""COMPUTED_VALUE"""),"Ishrak Intisar Hasan")</f>
        <v>Ishrak Intisar Hasan</v>
      </c>
      <c r="D34" s="15" t="str">
        <f>IFERROR(__xludf.DUMMYFUNCTION("""COMPUTED_VALUE"""),"CSE")</f>
        <v>CSE</v>
      </c>
      <c r="E34" s="15" t="str">
        <f>IFERROR(__xludf.DUMMYFUNCTION("""COMPUTED_VALUE"""),"ishraqintisar@gmail.com")</f>
        <v>ishraqintisar@gmail.com</v>
      </c>
      <c r="F34" s="33">
        <f>IFERROR(__xludf.DUMMYFUNCTION("""COMPUTED_VALUE"""),8.801313831386E12)</f>
        <v>8801313831386</v>
      </c>
      <c r="G34" s="22">
        <f>IFERROR(__xludf.DUMMYFUNCTION("""COMPUTED_VALUE"""),0.0)</f>
        <v>0</v>
      </c>
      <c r="H34" s="34">
        <f>IFERROR(__xludf.DUMMYFUNCTION("""COMPUTED_VALUE"""),1.0)</f>
        <v>1</v>
      </c>
      <c r="I34" s="35">
        <f>IFERROR(__xludf.DUMMYFUNCTION("""COMPUTED_VALUE"""),1.0)</f>
        <v>1</v>
      </c>
      <c r="J34" s="35"/>
      <c r="K34" s="35">
        <f>IFERROR(__xludf.DUMMYFUNCTION("""COMPUTED_VALUE"""),1.0)</f>
        <v>1</v>
      </c>
      <c r="L34" s="35">
        <f>IFERROR(__xludf.DUMMYFUNCTION("""COMPUTED_VALUE"""),4.0)</f>
        <v>4</v>
      </c>
      <c r="M34" s="35">
        <f>IFERROR(__xludf.DUMMYFUNCTION("""COMPUTED_VALUE"""),1.0)</f>
        <v>1</v>
      </c>
      <c r="N34" s="35">
        <f>IFERROR(__xludf.DUMMYFUNCTION("""COMPUTED_VALUE"""),3.0)</f>
        <v>3</v>
      </c>
      <c r="O34" s="35">
        <f>IFERROR(__xludf.DUMMYFUNCTION("""COMPUTED_VALUE"""),1.0)</f>
        <v>1</v>
      </c>
      <c r="P34" s="35"/>
      <c r="Q34" s="35">
        <f>IFERROR(__xludf.DUMMYFUNCTION("""COMPUTED_VALUE"""),1.0)</f>
        <v>1</v>
      </c>
      <c r="R34" s="35">
        <f>IFERROR(__xludf.DUMMYFUNCTION("""COMPUTED_VALUE"""),10.0)</f>
        <v>10</v>
      </c>
      <c r="S34" s="35">
        <f>IFERROR(__xludf.DUMMYFUNCTION("""COMPUTED_VALUE"""),1.0)</f>
        <v>1</v>
      </c>
      <c r="T34" s="35">
        <f>IFERROR(__xludf.DUMMYFUNCTION("""COMPUTED_VALUE"""),5.0)</f>
        <v>5</v>
      </c>
      <c r="U34" s="35">
        <f>IFERROR(__xludf.DUMMYFUNCTION("""COMPUTED_VALUE"""),1.0)</f>
        <v>1</v>
      </c>
      <c r="V34" s="35">
        <f>IFERROR(__xludf.DUMMYFUNCTION("""COMPUTED_VALUE"""),10.0)</f>
        <v>10</v>
      </c>
      <c r="W34" s="35">
        <f>IFERROR(__xludf.DUMMYFUNCTION("""COMPUTED_VALUE"""),1.0)</f>
        <v>1</v>
      </c>
      <c r="X34" s="35">
        <f>IFERROR(__xludf.DUMMYFUNCTION("""COMPUTED_VALUE"""),9.0)</f>
        <v>9</v>
      </c>
      <c r="Y34" s="35">
        <f>IFERROR(__xludf.DUMMYFUNCTION("""COMPUTED_VALUE"""),1.0)</f>
        <v>1</v>
      </c>
      <c r="Z34" s="35"/>
      <c r="AA34" s="35"/>
      <c r="AB34" s="35"/>
      <c r="AC34" s="35"/>
      <c r="AD34" s="35"/>
      <c r="AE34" s="35">
        <f>IFERROR(__xludf.DUMMYFUNCTION("""COMPUTED_VALUE"""),5.0)</f>
        <v>5</v>
      </c>
      <c r="AF34" s="35">
        <f>IFERROR(__xludf.DUMMYFUNCTION("""COMPUTED_VALUE"""),5.0)</f>
        <v>5</v>
      </c>
      <c r="AG34" s="35">
        <f>IFERROR(__xludf.DUMMYFUNCTION("""COMPUTED_VALUE"""),5.0)</f>
        <v>5</v>
      </c>
      <c r="AH34" s="35">
        <f>IFERROR(__xludf.DUMMYFUNCTION("""COMPUTED_VALUE"""),5.0)</f>
        <v>5</v>
      </c>
      <c r="AI34" s="35">
        <f>IFERROR(__xludf.DUMMYFUNCTION("""COMPUTED_VALUE"""),5.0)</f>
        <v>5</v>
      </c>
      <c r="AJ34" s="35">
        <f>IFERROR(__xludf.DUMMYFUNCTION("""COMPUTED_VALUE"""),5.0)</f>
        <v>5</v>
      </c>
      <c r="AK34" s="35">
        <f>IFERROR(__xludf.DUMMYFUNCTION("""COMPUTED_VALUE"""),5.0)</f>
        <v>5</v>
      </c>
      <c r="AL34" s="35">
        <f>IFERROR(__xludf.DUMMYFUNCTION("""COMPUTED_VALUE"""),5.0)</f>
        <v>5</v>
      </c>
      <c r="AM34" s="35"/>
      <c r="AN34" s="36">
        <f>IFERROR(__xludf.DUMMYFUNCTION("""COMPUTED_VALUE"""),2.0)</f>
        <v>2</v>
      </c>
      <c r="AO34" s="22">
        <f>IFERROR(__xludf.DUMMYFUNCTION("""COMPUTED_VALUE"""),2.7)</f>
        <v>2.7</v>
      </c>
      <c r="AP34" s="22">
        <f>IFERROR(__xludf.DUMMYFUNCTION("""COMPUTED_VALUE"""),19.333333333333332)</f>
        <v>19.33333333</v>
      </c>
      <c r="AQ34" s="37">
        <f>IFERROR(__xludf.DUMMYFUNCTION("""COMPUTED_VALUE"""),24.25)</f>
        <v>24.25</v>
      </c>
    </row>
    <row r="35">
      <c r="A35" s="18">
        <f>IFERROR(__xludf.DUMMYFUNCTION("""COMPUTED_VALUE"""),25.0)</f>
        <v>25</v>
      </c>
      <c r="B35" s="32" t="str">
        <f>IFERROR(__xludf.DUMMYFUNCTION("""COMPUTED_VALUE"""),"1000057685")</f>
        <v>1000057685</v>
      </c>
      <c r="C35" s="18" t="str">
        <f>IFERROR(__xludf.DUMMYFUNCTION("""COMPUTED_VALUE"""),"Sadat Shahriar")</f>
        <v>Sadat Shahriar</v>
      </c>
      <c r="D35" s="15" t="str">
        <f>IFERROR(__xludf.DUMMYFUNCTION("""COMPUTED_VALUE"""),"CSE")</f>
        <v>CSE</v>
      </c>
      <c r="E35" s="15" t="str">
        <f>IFERROR(__xludf.DUMMYFUNCTION("""COMPUTED_VALUE"""),"sadat.shahriar@g.bracu.ac.bd")</f>
        <v>sadat.shahriar@g.bracu.ac.bd</v>
      </c>
      <c r="F35" s="33">
        <f>IFERROR(__xludf.DUMMYFUNCTION("""COMPUTED_VALUE"""),8.801674650043E12)</f>
        <v>8801674650043</v>
      </c>
      <c r="G35" s="22">
        <f>IFERROR(__xludf.DUMMYFUNCTION("""COMPUTED_VALUE"""),0.0)</f>
        <v>0</v>
      </c>
      <c r="H35" s="34">
        <f>IFERROR(__xludf.DUMMYFUNCTION("""COMPUTED_VALUE"""),1.0)</f>
        <v>1</v>
      </c>
      <c r="I35" s="35">
        <f>IFERROR(__xludf.DUMMYFUNCTION("""COMPUTED_VALUE"""),1.0)</f>
        <v>1</v>
      </c>
      <c r="J35" s="35"/>
      <c r="K35" s="35">
        <f>IFERROR(__xludf.DUMMYFUNCTION("""COMPUTED_VALUE"""),1.0)</f>
        <v>1</v>
      </c>
      <c r="L35" s="35">
        <f>IFERROR(__xludf.DUMMYFUNCTION("""COMPUTED_VALUE"""),5.0)</f>
        <v>5</v>
      </c>
      <c r="M35" s="35">
        <f>IFERROR(__xludf.DUMMYFUNCTION("""COMPUTED_VALUE"""),1.0)</f>
        <v>1</v>
      </c>
      <c r="N35" s="35">
        <f>IFERROR(__xludf.DUMMYFUNCTION("""COMPUTED_VALUE"""),10.0)</f>
        <v>10</v>
      </c>
      <c r="O35" s="35">
        <f>IFERROR(__xludf.DUMMYFUNCTION("""COMPUTED_VALUE"""),1.0)</f>
        <v>1</v>
      </c>
      <c r="P35" s="35"/>
      <c r="Q35" s="35">
        <f>IFERROR(__xludf.DUMMYFUNCTION("""COMPUTED_VALUE"""),1.0)</f>
        <v>1</v>
      </c>
      <c r="R35" s="35">
        <f>IFERROR(__xludf.DUMMYFUNCTION("""COMPUTED_VALUE"""),10.0)</f>
        <v>10</v>
      </c>
      <c r="S35" s="35">
        <f>IFERROR(__xludf.DUMMYFUNCTION("""COMPUTED_VALUE"""),1.0)</f>
        <v>1</v>
      </c>
      <c r="T35" s="35">
        <f>IFERROR(__xludf.DUMMYFUNCTION("""COMPUTED_VALUE"""),5.0)</f>
        <v>5</v>
      </c>
      <c r="U35" s="35">
        <f>IFERROR(__xludf.DUMMYFUNCTION("""COMPUTED_VALUE"""),1.0)</f>
        <v>1</v>
      </c>
      <c r="V35" s="35">
        <f>IFERROR(__xludf.DUMMYFUNCTION("""COMPUTED_VALUE"""),10.0)</f>
        <v>10</v>
      </c>
      <c r="W35" s="35">
        <f>IFERROR(__xludf.DUMMYFUNCTION("""COMPUTED_VALUE"""),1.0)</f>
        <v>1</v>
      </c>
      <c r="X35" s="35">
        <f>IFERROR(__xludf.DUMMYFUNCTION("""COMPUTED_VALUE"""),9.0)</f>
        <v>9</v>
      </c>
      <c r="Y35" s="35">
        <f>IFERROR(__xludf.DUMMYFUNCTION("""COMPUTED_VALUE"""),1.0)</f>
        <v>1</v>
      </c>
      <c r="Z35" s="35"/>
      <c r="AA35" s="35"/>
      <c r="AB35" s="35"/>
      <c r="AC35" s="35"/>
      <c r="AD35" s="35"/>
      <c r="AE35" s="35">
        <f>IFERROR(__xludf.DUMMYFUNCTION("""COMPUTED_VALUE"""),5.0)</f>
        <v>5</v>
      </c>
      <c r="AF35" s="35">
        <f>IFERROR(__xludf.DUMMYFUNCTION("""COMPUTED_VALUE"""),5.0)</f>
        <v>5</v>
      </c>
      <c r="AG35" s="35">
        <f>IFERROR(__xludf.DUMMYFUNCTION("""COMPUTED_VALUE"""),0.0)</f>
        <v>0</v>
      </c>
      <c r="AH35" s="35">
        <f>IFERROR(__xludf.DUMMYFUNCTION("""COMPUTED_VALUE"""),5.0)</f>
        <v>5</v>
      </c>
      <c r="AI35" s="35">
        <f>IFERROR(__xludf.DUMMYFUNCTION("""COMPUTED_VALUE"""),5.0)</f>
        <v>5</v>
      </c>
      <c r="AJ35" s="35">
        <f>IFERROR(__xludf.DUMMYFUNCTION("""COMPUTED_VALUE"""),5.0)</f>
        <v>5</v>
      </c>
      <c r="AK35" s="35">
        <f>IFERROR(__xludf.DUMMYFUNCTION("""COMPUTED_VALUE"""),5.0)</f>
        <v>5</v>
      </c>
      <c r="AL35" s="35">
        <f>IFERROR(__xludf.DUMMYFUNCTION("""COMPUTED_VALUE"""),5.0)</f>
        <v>5</v>
      </c>
      <c r="AM35" s="35"/>
      <c r="AN35" s="36">
        <f>IFERROR(__xludf.DUMMYFUNCTION("""COMPUTED_VALUE"""),1.75)</f>
        <v>1.75</v>
      </c>
      <c r="AO35" s="22">
        <f>IFERROR(__xludf.DUMMYFUNCTION("""COMPUTED_VALUE"""),3.0)</f>
        <v>3</v>
      </c>
      <c r="AP35" s="22">
        <f>IFERROR(__xludf.DUMMYFUNCTION("""COMPUTED_VALUE"""),20.0)</f>
        <v>20</v>
      </c>
      <c r="AQ35" s="37">
        <f>IFERROR(__xludf.DUMMYFUNCTION("""COMPUTED_VALUE"""),24.75)</f>
        <v>24.75</v>
      </c>
    </row>
    <row r="36">
      <c r="A36" s="18">
        <f>IFERROR(__xludf.DUMMYFUNCTION("""COMPUTED_VALUE"""),26.0)</f>
        <v>26</v>
      </c>
      <c r="B36" s="32" t="str">
        <f>IFERROR(__xludf.DUMMYFUNCTION("""COMPUTED_VALUE"""),"1000057799")</f>
        <v>1000057799</v>
      </c>
      <c r="C36" s="18" t="str">
        <f>IFERROR(__xludf.DUMMYFUNCTION("""COMPUTED_VALUE"""),"Md Raisul Islam")</f>
        <v>Md Raisul Islam</v>
      </c>
      <c r="D36" s="15" t="str">
        <f>IFERROR(__xludf.DUMMYFUNCTION("""COMPUTED_VALUE"""),"CSE")</f>
        <v>CSE</v>
      </c>
      <c r="E36" s="15" t="str">
        <f>IFERROR(__xludf.DUMMYFUNCTION("""COMPUTED_VALUE"""),"md.raisul.islam4@g.bracu.ac.bd")</f>
        <v>md.raisul.islam4@g.bracu.ac.bd</v>
      </c>
      <c r="F36" s="33">
        <f>IFERROR(__xludf.DUMMYFUNCTION("""COMPUTED_VALUE"""),8.801521437085E12)</f>
        <v>8801521437085</v>
      </c>
      <c r="G36" s="22">
        <f>IFERROR(__xludf.DUMMYFUNCTION("""COMPUTED_VALUE"""),1.0)</f>
        <v>1</v>
      </c>
      <c r="H36" s="34">
        <f>IFERROR(__xludf.DUMMYFUNCTION("""COMPUTED_VALUE"""),0.9)</f>
        <v>0.9</v>
      </c>
      <c r="I36" s="35">
        <f>IFERROR(__xludf.DUMMYFUNCTION("""COMPUTED_VALUE"""),1.0)</f>
        <v>1</v>
      </c>
      <c r="J36" s="35"/>
      <c r="K36" s="35">
        <f>IFERROR(__xludf.DUMMYFUNCTION("""COMPUTED_VALUE"""),1.0)</f>
        <v>1</v>
      </c>
      <c r="L36" s="35">
        <f>IFERROR(__xludf.DUMMYFUNCTION("""COMPUTED_VALUE"""),4.0)</f>
        <v>4</v>
      </c>
      <c r="M36" s="35">
        <f>IFERROR(__xludf.DUMMYFUNCTION("""COMPUTED_VALUE"""),1.0)</f>
        <v>1</v>
      </c>
      <c r="N36" s="35">
        <f>IFERROR(__xludf.DUMMYFUNCTION("""COMPUTED_VALUE"""),6.0)</f>
        <v>6</v>
      </c>
      <c r="O36" s="35">
        <f>IFERROR(__xludf.DUMMYFUNCTION("""COMPUTED_VALUE"""),0.0)</f>
        <v>0</v>
      </c>
      <c r="P36" s="35"/>
      <c r="Q36" s="35">
        <f>IFERROR(__xludf.DUMMYFUNCTION("""COMPUTED_VALUE"""),1.0)</f>
        <v>1</v>
      </c>
      <c r="R36" s="35">
        <f>IFERROR(__xludf.DUMMYFUNCTION("""COMPUTED_VALUE"""),10.0)</f>
        <v>10</v>
      </c>
      <c r="S36" s="35">
        <f>IFERROR(__xludf.DUMMYFUNCTION("""COMPUTED_VALUE"""),1.0)</f>
        <v>1</v>
      </c>
      <c r="T36" s="35">
        <f>IFERROR(__xludf.DUMMYFUNCTION("""COMPUTED_VALUE"""),5.0)</f>
        <v>5</v>
      </c>
      <c r="U36" s="35">
        <f>IFERROR(__xludf.DUMMYFUNCTION("""COMPUTED_VALUE"""),1.0)</f>
        <v>1</v>
      </c>
      <c r="V36" s="35">
        <f>IFERROR(__xludf.DUMMYFUNCTION("""COMPUTED_VALUE"""),7.0)</f>
        <v>7</v>
      </c>
      <c r="W36" s="35">
        <f>IFERROR(__xludf.DUMMYFUNCTION("""COMPUTED_VALUE"""),1.0)</f>
        <v>1</v>
      </c>
      <c r="X36" s="35">
        <f>IFERROR(__xludf.DUMMYFUNCTION("""COMPUTED_VALUE"""),5.0)</f>
        <v>5</v>
      </c>
      <c r="Y36" s="35">
        <f>IFERROR(__xludf.DUMMYFUNCTION("""COMPUTED_VALUE"""),1.0)</f>
        <v>1</v>
      </c>
      <c r="Z36" s="35"/>
      <c r="AA36" s="35"/>
      <c r="AB36" s="35"/>
      <c r="AC36" s="35"/>
      <c r="AD36" s="35"/>
      <c r="AE36" s="35">
        <f>IFERROR(__xludf.DUMMYFUNCTION("""COMPUTED_VALUE"""),5.0)</f>
        <v>5</v>
      </c>
      <c r="AF36" s="35">
        <f>IFERROR(__xludf.DUMMYFUNCTION("""COMPUTED_VALUE"""),5.0)</f>
        <v>5</v>
      </c>
      <c r="AG36" s="35">
        <f>IFERROR(__xludf.DUMMYFUNCTION("""COMPUTED_VALUE"""),5.0)</f>
        <v>5</v>
      </c>
      <c r="AH36" s="35">
        <f>IFERROR(__xludf.DUMMYFUNCTION("""COMPUTED_VALUE"""),5.0)</f>
        <v>5</v>
      </c>
      <c r="AI36" s="35">
        <f>IFERROR(__xludf.DUMMYFUNCTION("""COMPUTED_VALUE"""),5.0)</f>
        <v>5</v>
      </c>
      <c r="AJ36" s="35">
        <f>IFERROR(__xludf.DUMMYFUNCTION("""COMPUTED_VALUE"""),5.0)</f>
        <v>5</v>
      </c>
      <c r="AK36" s="35">
        <f>IFERROR(__xludf.DUMMYFUNCTION("""COMPUTED_VALUE"""),5.0)</f>
        <v>5</v>
      </c>
      <c r="AL36" s="35">
        <f>IFERROR(__xludf.DUMMYFUNCTION("""COMPUTED_VALUE"""),5.0)</f>
        <v>5</v>
      </c>
      <c r="AM36" s="35"/>
      <c r="AN36" s="36">
        <f>IFERROR(__xludf.DUMMYFUNCTION("""COMPUTED_VALUE"""),2.0)</f>
        <v>2</v>
      </c>
      <c r="AO36" s="22">
        <f>IFERROR(__xludf.DUMMYFUNCTION("""COMPUTED_VALUE"""),2.7)</f>
        <v>2.7</v>
      </c>
      <c r="AP36" s="22">
        <f>IFERROR(__xludf.DUMMYFUNCTION("""COMPUTED_VALUE"""),15.333333333333334)</f>
        <v>15.33333333</v>
      </c>
      <c r="AQ36" s="37">
        <f>IFERROR(__xludf.DUMMYFUNCTION("""COMPUTED_VALUE"""),20.25)</f>
        <v>20.25</v>
      </c>
    </row>
    <row r="37">
      <c r="A37" s="18">
        <f>IFERROR(__xludf.DUMMYFUNCTION("""COMPUTED_VALUE"""),27.0)</f>
        <v>27</v>
      </c>
      <c r="B37" s="32" t="str">
        <f>IFERROR(__xludf.DUMMYFUNCTION("""COMPUTED_VALUE"""),"1000057800")</f>
        <v>1000057800</v>
      </c>
      <c r="C37" s="18" t="str">
        <f>IFERROR(__xludf.DUMMYFUNCTION("""COMPUTED_VALUE"""),"Maliha Ferdaws")</f>
        <v>Maliha Ferdaws</v>
      </c>
      <c r="D37" s="15" t="str">
        <f>IFERROR(__xludf.DUMMYFUNCTION("""COMPUTED_VALUE"""),"CSE")</f>
        <v>CSE</v>
      </c>
      <c r="E37" s="15" t="str">
        <f>IFERROR(__xludf.DUMMYFUNCTION("""COMPUTED_VALUE"""),"fmaliha9xz@gmail.com")</f>
        <v>fmaliha9xz@gmail.com</v>
      </c>
      <c r="F37" s="33">
        <f>IFERROR(__xludf.DUMMYFUNCTION("""COMPUTED_VALUE"""),8.801531981257E12)</f>
        <v>8801531981257</v>
      </c>
      <c r="G37" s="22">
        <f>IFERROR(__xludf.DUMMYFUNCTION("""COMPUTED_VALUE"""),0.0)</f>
        <v>0</v>
      </c>
      <c r="H37" s="34">
        <f>IFERROR(__xludf.DUMMYFUNCTION("""COMPUTED_VALUE"""),1.0)</f>
        <v>1</v>
      </c>
      <c r="I37" s="35">
        <f>IFERROR(__xludf.DUMMYFUNCTION("""COMPUTED_VALUE"""),1.0)</f>
        <v>1</v>
      </c>
      <c r="J37" s="35"/>
      <c r="K37" s="35">
        <f>IFERROR(__xludf.DUMMYFUNCTION("""COMPUTED_VALUE"""),1.0)</f>
        <v>1</v>
      </c>
      <c r="L37" s="35">
        <f>IFERROR(__xludf.DUMMYFUNCTION("""COMPUTED_VALUE"""),4.0)</f>
        <v>4</v>
      </c>
      <c r="M37" s="35">
        <f>IFERROR(__xludf.DUMMYFUNCTION("""COMPUTED_VALUE"""),1.0)</f>
        <v>1</v>
      </c>
      <c r="N37" s="35">
        <f>IFERROR(__xludf.DUMMYFUNCTION("""COMPUTED_VALUE"""),10.0)</f>
        <v>10</v>
      </c>
      <c r="O37" s="35">
        <f>IFERROR(__xludf.DUMMYFUNCTION("""COMPUTED_VALUE"""),1.0)</f>
        <v>1</v>
      </c>
      <c r="P37" s="35"/>
      <c r="Q37" s="35">
        <f>IFERROR(__xludf.DUMMYFUNCTION("""COMPUTED_VALUE"""),1.0)</f>
        <v>1</v>
      </c>
      <c r="R37" s="35">
        <f>IFERROR(__xludf.DUMMYFUNCTION("""COMPUTED_VALUE"""),9.0)</f>
        <v>9</v>
      </c>
      <c r="S37" s="35">
        <f>IFERROR(__xludf.DUMMYFUNCTION("""COMPUTED_VALUE"""),1.0)</f>
        <v>1</v>
      </c>
      <c r="T37" s="35">
        <f>IFERROR(__xludf.DUMMYFUNCTION("""COMPUTED_VALUE"""),4.5)</f>
        <v>4.5</v>
      </c>
      <c r="U37" s="35">
        <f>IFERROR(__xludf.DUMMYFUNCTION("""COMPUTED_VALUE"""),1.0)</f>
        <v>1</v>
      </c>
      <c r="V37" s="35">
        <f>IFERROR(__xludf.DUMMYFUNCTION("""COMPUTED_VALUE"""),6.0)</f>
        <v>6</v>
      </c>
      <c r="W37" s="35">
        <f>IFERROR(__xludf.DUMMYFUNCTION("""COMPUTED_VALUE"""),1.0)</f>
        <v>1</v>
      </c>
      <c r="X37" s="35">
        <f>IFERROR(__xludf.DUMMYFUNCTION("""COMPUTED_VALUE"""),10.0)</f>
        <v>10</v>
      </c>
      <c r="Y37" s="35">
        <f>IFERROR(__xludf.DUMMYFUNCTION("""COMPUTED_VALUE"""),1.0)</f>
        <v>1</v>
      </c>
      <c r="Z37" s="35"/>
      <c r="AA37" s="35"/>
      <c r="AB37" s="35"/>
      <c r="AC37" s="35"/>
      <c r="AD37" s="35"/>
      <c r="AE37" s="35">
        <f>IFERROR(__xludf.DUMMYFUNCTION("""COMPUTED_VALUE"""),0.0)</f>
        <v>0</v>
      </c>
      <c r="AF37" s="35">
        <f>IFERROR(__xludf.DUMMYFUNCTION("""COMPUTED_VALUE"""),5.0)</f>
        <v>5</v>
      </c>
      <c r="AG37" s="35">
        <f>IFERROR(__xludf.DUMMYFUNCTION("""COMPUTED_VALUE"""),5.0)</f>
        <v>5</v>
      </c>
      <c r="AH37" s="35">
        <f>IFERROR(__xludf.DUMMYFUNCTION("""COMPUTED_VALUE"""),5.0)</f>
        <v>5</v>
      </c>
      <c r="AI37" s="35">
        <f>IFERROR(__xludf.DUMMYFUNCTION("""COMPUTED_VALUE"""),5.0)</f>
        <v>5</v>
      </c>
      <c r="AJ37" s="35">
        <f>IFERROR(__xludf.DUMMYFUNCTION("""COMPUTED_VALUE"""),5.0)</f>
        <v>5</v>
      </c>
      <c r="AK37" s="35">
        <f>IFERROR(__xludf.DUMMYFUNCTION("""COMPUTED_VALUE"""),5.0)</f>
        <v>5</v>
      </c>
      <c r="AL37" s="35">
        <f>IFERROR(__xludf.DUMMYFUNCTION("""COMPUTED_VALUE"""),5.0)</f>
        <v>5</v>
      </c>
      <c r="AM37" s="35"/>
      <c r="AN37" s="36">
        <f>IFERROR(__xludf.DUMMYFUNCTION("""COMPUTED_VALUE"""),1.75)</f>
        <v>1.75</v>
      </c>
      <c r="AO37" s="22">
        <f>IFERROR(__xludf.DUMMYFUNCTION("""COMPUTED_VALUE"""),2.55)</f>
        <v>2.55</v>
      </c>
      <c r="AP37" s="22">
        <f>IFERROR(__xludf.DUMMYFUNCTION("""COMPUTED_VALUE"""),19.333333333333332)</f>
        <v>19.33333333</v>
      </c>
      <c r="AQ37" s="37">
        <f>IFERROR(__xludf.DUMMYFUNCTION("""COMPUTED_VALUE"""),23.75)</f>
        <v>23.75</v>
      </c>
    </row>
    <row r="38">
      <c r="A38" s="18">
        <f>IFERROR(__xludf.DUMMYFUNCTION("""COMPUTED_VALUE"""),28.0)</f>
        <v>28</v>
      </c>
      <c r="B38" s="32" t="str">
        <f>IFERROR(__xludf.DUMMYFUNCTION("""COMPUTED_VALUE"""),"1000057808")</f>
        <v>1000057808</v>
      </c>
      <c r="C38" s="18" t="str">
        <f>IFERROR(__xludf.DUMMYFUNCTION("""COMPUTED_VALUE"""),"Pratyush Dhar")</f>
        <v>Pratyush Dhar</v>
      </c>
      <c r="D38" s="15" t="str">
        <f>IFERROR(__xludf.DUMMYFUNCTION("""COMPUTED_VALUE"""),"CSE")</f>
        <v>CSE</v>
      </c>
      <c r="E38" s="15" t="str">
        <f>IFERROR(__xludf.DUMMYFUNCTION("""COMPUTED_VALUE"""),"pratyush.dhar@g.bracu.ac.bd")</f>
        <v>pratyush.dhar@g.bracu.ac.bd</v>
      </c>
      <c r="F38" s="33">
        <f>IFERROR(__xludf.DUMMYFUNCTION("""COMPUTED_VALUE"""),8.801813954136E12)</f>
        <v>8801813954136</v>
      </c>
      <c r="G38" s="22">
        <f>IFERROR(__xludf.DUMMYFUNCTION("""COMPUTED_VALUE"""),0.0)</f>
        <v>0</v>
      </c>
      <c r="H38" s="34">
        <f>IFERROR(__xludf.DUMMYFUNCTION("""COMPUTED_VALUE"""),1.0)</f>
        <v>1</v>
      </c>
      <c r="I38" s="35">
        <f>IFERROR(__xludf.DUMMYFUNCTION("""COMPUTED_VALUE"""),1.0)</f>
        <v>1</v>
      </c>
      <c r="J38" s="35"/>
      <c r="K38" s="35">
        <f>IFERROR(__xludf.DUMMYFUNCTION("""COMPUTED_VALUE"""),1.0)</f>
        <v>1</v>
      </c>
      <c r="L38" s="35">
        <f>IFERROR(__xludf.DUMMYFUNCTION("""COMPUTED_VALUE"""),5.0)</f>
        <v>5</v>
      </c>
      <c r="M38" s="35">
        <f>IFERROR(__xludf.DUMMYFUNCTION("""COMPUTED_VALUE"""),1.0)</f>
        <v>1</v>
      </c>
      <c r="N38" s="35">
        <f>IFERROR(__xludf.DUMMYFUNCTION("""COMPUTED_VALUE"""),10.0)</f>
        <v>10</v>
      </c>
      <c r="O38" s="35">
        <f>IFERROR(__xludf.DUMMYFUNCTION("""COMPUTED_VALUE"""),1.0)</f>
        <v>1</v>
      </c>
      <c r="P38" s="35"/>
      <c r="Q38" s="35">
        <f>IFERROR(__xludf.DUMMYFUNCTION("""COMPUTED_VALUE"""),1.0)</f>
        <v>1</v>
      </c>
      <c r="R38" s="35">
        <f>IFERROR(__xludf.DUMMYFUNCTION("""COMPUTED_VALUE"""),9.0)</f>
        <v>9</v>
      </c>
      <c r="S38" s="35">
        <f>IFERROR(__xludf.DUMMYFUNCTION("""COMPUTED_VALUE"""),1.0)</f>
        <v>1</v>
      </c>
      <c r="T38" s="35">
        <f>IFERROR(__xludf.DUMMYFUNCTION("""COMPUTED_VALUE"""),5.0)</f>
        <v>5</v>
      </c>
      <c r="U38" s="35">
        <f>IFERROR(__xludf.DUMMYFUNCTION("""COMPUTED_VALUE"""),1.0)</f>
        <v>1</v>
      </c>
      <c r="V38" s="35">
        <f>IFERROR(__xludf.DUMMYFUNCTION("""COMPUTED_VALUE"""),6.0)</f>
        <v>6</v>
      </c>
      <c r="W38" s="35">
        <f>IFERROR(__xludf.DUMMYFUNCTION("""COMPUTED_VALUE"""),1.0)</f>
        <v>1</v>
      </c>
      <c r="X38" s="35">
        <f>IFERROR(__xludf.DUMMYFUNCTION("""COMPUTED_VALUE"""),10.0)</f>
        <v>10</v>
      </c>
      <c r="Y38" s="35">
        <f>IFERROR(__xludf.DUMMYFUNCTION("""COMPUTED_VALUE"""),1.0)</f>
        <v>1</v>
      </c>
      <c r="Z38" s="35"/>
      <c r="AA38" s="35"/>
      <c r="AB38" s="35"/>
      <c r="AC38" s="35"/>
      <c r="AD38" s="35"/>
      <c r="AE38" s="35">
        <f>IFERROR(__xludf.DUMMYFUNCTION("""COMPUTED_VALUE"""),5.0)</f>
        <v>5</v>
      </c>
      <c r="AF38" s="35">
        <f>IFERROR(__xludf.DUMMYFUNCTION("""COMPUTED_VALUE"""),5.0)</f>
        <v>5</v>
      </c>
      <c r="AG38" s="35">
        <f>IFERROR(__xludf.DUMMYFUNCTION("""COMPUTED_VALUE"""),5.0)</f>
        <v>5</v>
      </c>
      <c r="AH38" s="35">
        <f>IFERROR(__xludf.DUMMYFUNCTION("""COMPUTED_VALUE"""),5.0)</f>
        <v>5</v>
      </c>
      <c r="AI38" s="35">
        <f>IFERROR(__xludf.DUMMYFUNCTION("""COMPUTED_VALUE"""),5.0)</f>
        <v>5</v>
      </c>
      <c r="AJ38" s="35">
        <f>IFERROR(__xludf.DUMMYFUNCTION("""COMPUTED_VALUE"""),5.0)</f>
        <v>5</v>
      </c>
      <c r="AK38" s="35">
        <f>IFERROR(__xludf.DUMMYFUNCTION("""COMPUTED_VALUE"""),5.0)</f>
        <v>5</v>
      </c>
      <c r="AL38" s="35">
        <f>IFERROR(__xludf.DUMMYFUNCTION("""COMPUTED_VALUE"""),5.0)</f>
        <v>5</v>
      </c>
      <c r="AM38" s="35"/>
      <c r="AN38" s="36">
        <f>IFERROR(__xludf.DUMMYFUNCTION("""COMPUTED_VALUE"""),2.0)</f>
        <v>2</v>
      </c>
      <c r="AO38" s="22">
        <f>IFERROR(__xludf.DUMMYFUNCTION("""COMPUTED_VALUE"""),3.0)</f>
        <v>3</v>
      </c>
      <c r="AP38" s="22">
        <f>IFERROR(__xludf.DUMMYFUNCTION("""COMPUTED_VALUE"""),19.333333333333332)</f>
        <v>19.33333333</v>
      </c>
      <c r="AQ38" s="37">
        <f>IFERROR(__xludf.DUMMYFUNCTION("""COMPUTED_VALUE"""),24.5)</f>
        <v>24.5</v>
      </c>
    </row>
    <row r="39">
      <c r="A39" s="18">
        <f>IFERROR(__xludf.DUMMYFUNCTION("""COMPUTED_VALUE"""),29.0)</f>
        <v>29</v>
      </c>
      <c r="B39" s="32" t="str">
        <f>IFERROR(__xludf.DUMMYFUNCTION("""COMPUTED_VALUE"""),"1000057832")</f>
        <v>1000057832</v>
      </c>
      <c r="C39" s="18" t="str">
        <f>IFERROR(__xludf.DUMMYFUNCTION("""COMPUTED_VALUE"""),"Shamam Tahnim islam")</f>
        <v>Shamam Tahnim islam</v>
      </c>
      <c r="D39" s="15" t="str">
        <f>IFERROR(__xludf.DUMMYFUNCTION("""COMPUTED_VALUE"""),"CSE")</f>
        <v>CSE</v>
      </c>
      <c r="E39" s="15" t="str">
        <f>IFERROR(__xludf.DUMMYFUNCTION("""COMPUTED_VALUE"""),"shamamt54@gmail.com")</f>
        <v>shamamt54@gmail.com</v>
      </c>
      <c r="F39" s="33">
        <f>IFERROR(__xludf.DUMMYFUNCTION("""COMPUTED_VALUE"""),8.801911897105E12)</f>
        <v>8801911897105</v>
      </c>
      <c r="G39" s="22">
        <f>IFERROR(__xludf.DUMMYFUNCTION("""COMPUTED_VALUE"""),0.0)</f>
        <v>0</v>
      </c>
      <c r="H39" s="34">
        <f>IFERROR(__xludf.DUMMYFUNCTION("""COMPUTED_VALUE"""),1.0)</f>
        <v>1</v>
      </c>
      <c r="I39" s="35">
        <f>IFERROR(__xludf.DUMMYFUNCTION("""COMPUTED_VALUE"""),1.0)</f>
        <v>1</v>
      </c>
      <c r="J39" s="35"/>
      <c r="K39" s="35">
        <f>IFERROR(__xludf.DUMMYFUNCTION("""COMPUTED_VALUE"""),1.0)</f>
        <v>1</v>
      </c>
      <c r="L39" s="35">
        <f>IFERROR(__xludf.DUMMYFUNCTION("""COMPUTED_VALUE"""),4.0)</f>
        <v>4</v>
      </c>
      <c r="M39" s="35">
        <f>IFERROR(__xludf.DUMMYFUNCTION("""COMPUTED_VALUE"""),1.0)</f>
        <v>1</v>
      </c>
      <c r="N39" s="35">
        <f>IFERROR(__xludf.DUMMYFUNCTION("""COMPUTED_VALUE"""),6.0)</f>
        <v>6</v>
      </c>
      <c r="O39" s="35">
        <f>IFERROR(__xludf.DUMMYFUNCTION("""COMPUTED_VALUE"""),1.0)</f>
        <v>1</v>
      </c>
      <c r="P39" s="35"/>
      <c r="Q39" s="35">
        <f>IFERROR(__xludf.DUMMYFUNCTION("""COMPUTED_VALUE"""),1.0)</f>
        <v>1</v>
      </c>
      <c r="R39" s="35">
        <f>IFERROR(__xludf.DUMMYFUNCTION("""COMPUTED_VALUE"""),9.0)</f>
        <v>9</v>
      </c>
      <c r="S39" s="35">
        <f>IFERROR(__xludf.DUMMYFUNCTION("""COMPUTED_VALUE"""),1.0)</f>
        <v>1</v>
      </c>
      <c r="T39" s="35">
        <f>IFERROR(__xludf.DUMMYFUNCTION("""COMPUTED_VALUE"""),5.0)</f>
        <v>5</v>
      </c>
      <c r="U39" s="35">
        <f>IFERROR(__xludf.DUMMYFUNCTION("""COMPUTED_VALUE"""),1.0)</f>
        <v>1</v>
      </c>
      <c r="V39" s="35">
        <f>IFERROR(__xludf.DUMMYFUNCTION("""COMPUTED_VALUE"""),6.0)</f>
        <v>6</v>
      </c>
      <c r="W39" s="35">
        <f>IFERROR(__xludf.DUMMYFUNCTION("""COMPUTED_VALUE"""),1.0)</f>
        <v>1</v>
      </c>
      <c r="X39" s="35">
        <f>IFERROR(__xludf.DUMMYFUNCTION("""COMPUTED_VALUE"""),8.0)</f>
        <v>8</v>
      </c>
      <c r="Y39" s="35">
        <f>IFERROR(__xludf.DUMMYFUNCTION("""COMPUTED_VALUE"""),1.0)</f>
        <v>1</v>
      </c>
      <c r="Z39" s="35"/>
      <c r="AA39" s="35"/>
      <c r="AB39" s="35"/>
      <c r="AC39" s="35"/>
      <c r="AD39" s="35"/>
      <c r="AE39" s="35">
        <f>IFERROR(__xludf.DUMMYFUNCTION("""COMPUTED_VALUE"""),5.0)</f>
        <v>5</v>
      </c>
      <c r="AF39" s="35">
        <f>IFERROR(__xludf.DUMMYFUNCTION("""COMPUTED_VALUE"""),5.0)</f>
        <v>5</v>
      </c>
      <c r="AG39" s="35">
        <f>IFERROR(__xludf.DUMMYFUNCTION("""COMPUTED_VALUE"""),5.0)</f>
        <v>5</v>
      </c>
      <c r="AH39" s="35">
        <f>IFERROR(__xludf.DUMMYFUNCTION("""COMPUTED_VALUE"""),5.0)</f>
        <v>5</v>
      </c>
      <c r="AI39" s="35">
        <f>IFERROR(__xludf.DUMMYFUNCTION("""COMPUTED_VALUE"""),5.0)</f>
        <v>5</v>
      </c>
      <c r="AJ39" s="35">
        <f>IFERROR(__xludf.DUMMYFUNCTION("""COMPUTED_VALUE"""),5.0)</f>
        <v>5</v>
      </c>
      <c r="AK39" s="35">
        <f>IFERROR(__xludf.DUMMYFUNCTION("""COMPUTED_VALUE"""),5.0)</f>
        <v>5</v>
      </c>
      <c r="AL39" s="35">
        <f>IFERROR(__xludf.DUMMYFUNCTION("""COMPUTED_VALUE"""),5.0)</f>
        <v>5</v>
      </c>
      <c r="AM39" s="35"/>
      <c r="AN39" s="36">
        <f>IFERROR(__xludf.DUMMYFUNCTION("""COMPUTED_VALUE"""),2.0)</f>
        <v>2</v>
      </c>
      <c r="AO39" s="22">
        <f>IFERROR(__xludf.DUMMYFUNCTION("""COMPUTED_VALUE"""),2.7)</f>
        <v>2.7</v>
      </c>
      <c r="AP39" s="22">
        <f>IFERROR(__xludf.DUMMYFUNCTION("""COMPUTED_VALUE"""),15.333333333333334)</f>
        <v>15.33333333</v>
      </c>
      <c r="AQ39" s="37">
        <f>IFERROR(__xludf.DUMMYFUNCTION("""COMPUTED_VALUE"""),20.25)</f>
        <v>20.25</v>
      </c>
    </row>
    <row r="40">
      <c r="A40" s="18">
        <f>IFERROR(__xludf.DUMMYFUNCTION("""COMPUTED_VALUE"""),30.0)</f>
        <v>30</v>
      </c>
      <c r="B40" s="32" t="str">
        <f>IFERROR(__xludf.DUMMYFUNCTION("""COMPUTED_VALUE"""),"1000058012")</f>
        <v>1000058012</v>
      </c>
      <c r="C40" s="18" t="str">
        <f>IFERROR(__xludf.DUMMYFUNCTION("""COMPUTED_VALUE"""),"Mashrafee Bin Eakram")</f>
        <v>Mashrafee Bin Eakram</v>
      </c>
      <c r="D40" s="15" t="str">
        <f>IFERROR(__xludf.DUMMYFUNCTION("""COMPUTED_VALUE"""),"CS")</f>
        <v>CS</v>
      </c>
      <c r="E40" s="15" t="str">
        <f>IFERROR(__xludf.DUMMYFUNCTION("""COMPUTED_VALUE"""),"mashrafeebin2020@gmail.com")</f>
        <v>mashrafeebin2020@gmail.com</v>
      </c>
      <c r="F40" s="33">
        <f>IFERROR(__xludf.DUMMYFUNCTION("""COMPUTED_VALUE"""),8.801323883744E12)</f>
        <v>8801323883744</v>
      </c>
      <c r="G40" s="22">
        <f>IFERROR(__xludf.DUMMYFUNCTION("""COMPUTED_VALUE"""),0.0)</f>
        <v>0</v>
      </c>
      <c r="H40" s="34">
        <f>IFERROR(__xludf.DUMMYFUNCTION("""COMPUTED_VALUE"""),1.0)</f>
        <v>1</v>
      </c>
      <c r="I40" s="35">
        <f>IFERROR(__xludf.DUMMYFUNCTION("""COMPUTED_VALUE"""),1.0)</f>
        <v>1</v>
      </c>
      <c r="J40" s="35"/>
      <c r="K40" s="35">
        <f>IFERROR(__xludf.DUMMYFUNCTION("""COMPUTED_VALUE"""),1.0)</f>
        <v>1</v>
      </c>
      <c r="L40" s="35">
        <f>IFERROR(__xludf.DUMMYFUNCTION("""COMPUTED_VALUE"""),5.0)</f>
        <v>5</v>
      </c>
      <c r="M40" s="35">
        <f>IFERROR(__xludf.DUMMYFUNCTION("""COMPUTED_VALUE"""),1.0)</f>
        <v>1</v>
      </c>
      <c r="N40" s="35">
        <f>IFERROR(__xludf.DUMMYFUNCTION("""COMPUTED_VALUE"""),10.0)</f>
        <v>10</v>
      </c>
      <c r="O40" s="35">
        <f>IFERROR(__xludf.DUMMYFUNCTION("""COMPUTED_VALUE"""),1.0)</f>
        <v>1</v>
      </c>
      <c r="P40" s="35"/>
      <c r="Q40" s="35">
        <f>IFERROR(__xludf.DUMMYFUNCTION("""COMPUTED_VALUE"""),1.0)</f>
        <v>1</v>
      </c>
      <c r="R40" s="35">
        <f>IFERROR(__xludf.DUMMYFUNCTION("""COMPUTED_VALUE"""),10.0)</f>
        <v>10</v>
      </c>
      <c r="S40" s="35">
        <f>IFERROR(__xludf.DUMMYFUNCTION("""COMPUTED_VALUE"""),1.0)</f>
        <v>1</v>
      </c>
      <c r="T40" s="35">
        <f>IFERROR(__xludf.DUMMYFUNCTION("""COMPUTED_VALUE"""),5.0)</f>
        <v>5</v>
      </c>
      <c r="U40" s="35">
        <f>IFERROR(__xludf.DUMMYFUNCTION("""COMPUTED_VALUE"""),1.0)</f>
        <v>1</v>
      </c>
      <c r="V40" s="35">
        <f>IFERROR(__xludf.DUMMYFUNCTION("""COMPUTED_VALUE"""),10.0)</f>
        <v>10</v>
      </c>
      <c r="W40" s="35">
        <f>IFERROR(__xludf.DUMMYFUNCTION("""COMPUTED_VALUE"""),1.0)</f>
        <v>1</v>
      </c>
      <c r="X40" s="35">
        <f>IFERROR(__xludf.DUMMYFUNCTION("""COMPUTED_VALUE"""),9.0)</f>
        <v>9</v>
      </c>
      <c r="Y40" s="35">
        <f>IFERROR(__xludf.DUMMYFUNCTION("""COMPUTED_VALUE"""),1.0)</f>
        <v>1</v>
      </c>
      <c r="Z40" s="35"/>
      <c r="AA40" s="35"/>
      <c r="AB40" s="35"/>
      <c r="AC40" s="35"/>
      <c r="AD40" s="35"/>
      <c r="AE40" s="35">
        <f>IFERROR(__xludf.DUMMYFUNCTION("""COMPUTED_VALUE"""),5.0)</f>
        <v>5</v>
      </c>
      <c r="AF40" s="35">
        <f>IFERROR(__xludf.DUMMYFUNCTION("""COMPUTED_VALUE"""),5.0)</f>
        <v>5</v>
      </c>
      <c r="AG40" s="35">
        <f>IFERROR(__xludf.DUMMYFUNCTION("""COMPUTED_VALUE"""),5.0)</f>
        <v>5</v>
      </c>
      <c r="AH40" s="35">
        <f>IFERROR(__xludf.DUMMYFUNCTION("""COMPUTED_VALUE"""),5.0)</f>
        <v>5</v>
      </c>
      <c r="AI40" s="35">
        <f>IFERROR(__xludf.DUMMYFUNCTION("""COMPUTED_VALUE"""),5.0)</f>
        <v>5</v>
      </c>
      <c r="AJ40" s="35">
        <f>IFERROR(__xludf.DUMMYFUNCTION("""COMPUTED_VALUE"""),5.0)</f>
        <v>5</v>
      </c>
      <c r="AK40" s="35">
        <f>IFERROR(__xludf.DUMMYFUNCTION("""COMPUTED_VALUE"""),5.0)</f>
        <v>5</v>
      </c>
      <c r="AL40" s="35">
        <f>IFERROR(__xludf.DUMMYFUNCTION("""COMPUTED_VALUE"""),5.0)</f>
        <v>5</v>
      </c>
      <c r="AM40" s="35"/>
      <c r="AN40" s="36">
        <f>IFERROR(__xludf.DUMMYFUNCTION("""COMPUTED_VALUE"""),2.0)</f>
        <v>2</v>
      </c>
      <c r="AO40" s="22">
        <f>IFERROR(__xludf.DUMMYFUNCTION("""COMPUTED_VALUE"""),3.0)</f>
        <v>3</v>
      </c>
      <c r="AP40" s="22">
        <f>IFERROR(__xludf.DUMMYFUNCTION("""COMPUTED_VALUE"""),20.0)</f>
        <v>20</v>
      </c>
      <c r="AQ40" s="37">
        <f>IFERROR(__xludf.DUMMYFUNCTION("""COMPUTED_VALUE"""),25.0)</f>
        <v>25</v>
      </c>
    </row>
    <row r="41">
      <c r="A41" s="18">
        <f>IFERROR(__xludf.DUMMYFUNCTION("""COMPUTED_VALUE"""),31.0)</f>
        <v>31</v>
      </c>
      <c r="B41" s="32" t="str">
        <f>IFERROR(__xludf.DUMMYFUNCTION("""COMPUTED_VALUE"""),"1000058036")</f>
        <v>1000058036</v>
      </c>
      <c r="C41" s="18" t="str">
        <f>IFERROR(__xludf.DUMMYFUNCTION("""COMPUTED_VALUE"""),"Md Farhan Uddin Molla")</f>
        <v>Md Farhan Uddin Molla</v>
      </c>
      <c r="D41" s="15" t="str">
        <f>IFERROR(__xludf.DUMMYFUNCTION("""COMPUTED_VALUE"""),"MAT")</f>
        <v>MAT</v>
      </c>
      <c r="E41" s="15" t="str">
        <f>IFERROR(__xludf.DUMMYFUNCTION("""COMPUTED_VALUE"""),"farhan.uddin.molla@g.bracu.ac.bd")</f>
        <v>farhan.uddin.molla@g.bracu.ac.bd</v>
      </c>
      <c r="F41" s="33">
        <f>IFERROR(__xludf.DUMMYFUNCTION("""COMPUTED_VALUE"""),8.80195781441E12)</f>
        <v>8801957814410</v>
      </c>
      <c r="G41" s="22">
        <f>IFERROR(__xludf.DUMMYFUNCTION("""COMPUTED_VALUE"""),1.0)</f>
        <v>1</v>
      </c>
      <c r="H41" s="34">
        <f>IFERROR(__xludf.DUMMYFUNCTION("""COMPUTED_VALUE"""),0.9)</f>
        <v>0.9</v>
      </c>
      <c r="I41" s="35">
        <f>IFERROR(__xludf.DUMMYFUNCTION("""COMPUTED_VALUE"""),1.0)</f>
        <v>1</v>
      </c>
      <c r="J41" s="35"/>
      <c r="K41" s="35">
        <f>IFERROR(__xludf.DUMMYFUNCTION("""COMPUTED_VALUE"""),1.0)</f>
        <v>1</v>
      </c>
      <c r="L41" s="35">
        <f>IFERROR(__xludf.DUMMYFUNCTION("""COMPUTED_VALUE"""),5.0)</f>
        <v>5</v>
      </c>
      <c r="M41" s="35">
        <f>IFERROR(__xludf.DUMMYFUNCTION("""COMPUTED_VALUE"""),1.0)</f>
        <v>1</v>
      </c>
      <c r="N41" s="35">
        <f>IFERROR(__xludf.DUMMYFUNCTION("""COMPUTED_VALUE"""),3.0)</f>
        <v>3</v>
      </c>
      <c r="O41" s="35">
        <f>IFERROR(__xludf.DUMMYFUNCTION("""COMPUTED_VALUE"""),1.0)</f>
        <v>1</v>
      </c>
      <c r="P41" s="35"/>
      <c r="Q41" s="35">
        <f>IFERROR(__xludf.DUMMYFUNCTION("""COMPUTED_VALUE"""),1.0)</f>
        <v>1</v>
      </c>
      <c r="R41" s="35">
        <f>IFERROR(__xludf.DUMMYFUNCTION("""COMPUTED_VALUE"""),8.0)</f>
        <v>8</v>
      </c>
      <c r="S41" s="35"/>
      <c r="T41" s="35"/>
      <c r="U41" s="35">
        <f>IFERROR(__xludf.DUMMYFUNCTION("""COMPUTED_VALUE"""),1.0)</f>
        <v>1</v>
      </c>
      <c r="V41" s="35"/>
      <c r="W41" s="35">
        <f>IFERROR(__xludf.DUMMYFUNCTION("""COMPUTED_VALUE"""),1.0)</f>
        <v>1</v>
      </c>
      <c r="X41" s="35">
        <f>IFERROR(__xludf.DUMMYFUNCTION("""COMPUTED_VALUE"""),2.0)</f>
        <v>2</v>
      </c>
      <c r="Y41" s="35">
        <f>IFERROR(__xludf.DUMMYFUNCTION("""COMPUTED_VALUE"""),0.0)</f>
        <v>0</v>
      </c>
      <c r="Z41" s="35"/>
      <c r="AA41" s="35"/>
      <c r="AB41" s="35"/>
      <c r="AC41" s="35"/>
      <c r="AD41" s="35"/>
      <c r="AE41" s="35">
        <f>IFERROR(__xludf.DUMMYFUNCTION("""COMPUTED_VALUE"""),5.0)</f>
        <v>5</v>
      </c>
      <c r="AF41" s="35">
        <f>IFERROR(__xludf.DUMMYFUNCTION("""COMPUTED_VALUE"""),5.0)</f>
        <v>5</v>
      </c>
      <c r="AG41" s="35">
        <f>IFERROR(__xludf.DUMMYFUNCTION("""COMPUTED_VALUE"""),5.0)</f>
        <v>5</v>
      </c>
      <c r="AH41" s="35">
        <f>IFERROR(__xludf.DUMMYFUNCTION("""COMPUTED_VALUE"""),5.0)</f>
        <v>5</v>
      </c>
      <c r="AI41" s="35">
        <f>IFERROR(__xludf.DUMMYFUNCTION("""COMPUTED_VALUE"""),5.0)</f>
        <v>5</v>
      </c>
      <c r="AJ41" s="35">
        <f>IFERROR(__xludf.DUMMYFUNCTION("""COMPUTED_VALUE"""),0.0)</f>
        <v>0</v>
      </c>
      <c r="AK41" s="35">
        <f>IFERROR(__xludf.DUMMYFUNCTION("""COMPUTED_VALUE"""),5.0)</f>
        <v>5</v>
      </c>
      <c r="AL41" s="35">
        <f>IFERROR(__xludf.DUMMYFUNCTION("""COMPUTED_VALUE"""),0.0)</f>
        <v>0</v>
      </c>
      <c r="AM41" s="35"/>
      <c r="AN41" s="36">
        <f>IFERROR(__xludf.DUMMYFUNCTION("""COMPUTED_VALUE"""),1.5)</f>
        <v>1.5</v>
      </c>
      <c r="AO41" s="22">
        <f>IFERROR(__xludf.DUMMYFUNCTION("""COMPUTED_VALUE"""),1.5)</f>
        <v>1.5</v>
      </c>
      <c r="AP41" s="22">
        <f>IFERROR(__xludf.DUMMYFUNCTION("""COMPUTED_VALUE"""),8.666666666666666)</f>
        <v>8.666666667</v>
      </c>
      <c r="AQ41" s="37">
        <f>IFERROR(__xludf.DUMMYFUNCTION("""COMPUTED_VALUE"""),11.75)</f>
        <v>11.75</v>
      </c>
    </row>
    <row r="42">
      <c r="A42" s="47">
        <f>IFERROR(__xludf.DUMMYFUNCTION("""COMPUTED_VALUE"""),32.0)</f>
        <v>32</v>
      </c>
      <c r="B42" s="48" t="str">
        <f>IFERROR(__xludf.DUMMYFUNCTION("""COMPUTED_VALUE"""),"1000058119")</f>
        <v>1000058119</v>
      </c>
      <c r="C42" s="47" t="str">
        <f>IFERROR(__xludf.DUMMYFUNCTION("""COMPUTED_VALUE"""),"Ishrak Hasin Akan")</f>
        <v>Ishrak Hasin Akan</v>
      </c>
      <c r="D42" s="49" t="str">
        <f>IFERROR(__xludf.DUMMYFUNCTION("""COMPUTED_VALUE"""),"CSE")</f>
        <v>CSE</v>
      </c>
      <c r="E42" s="49" t="str">
        <f>IFERROR(__xludf.DUMMYFUNCTION("""COMPUTED_VALUE"""),"ishrak148@gmail.com")</f>
        <v>ishrak148@gmail.com</v>
      </c>
      <c r="F42" s="50">
        <f>IFERROR(__xludf.DUMMYFUNCTION("""COMPUTED_VALUE"""),8.801977883003E12)</f>
        <v>8801977883003</v>
      </c>
      <c r="G42" s="51">
        <f>IFERROR(__xludf.DUMMYFUNCTION("""COMPUTED_VALUE"""),4.0)</f>
        <v>4</v>
      </c>
      <c r="H42" s="52">
        <f>IFERROR(__xludf.DUMMYFUNCTION("""COMPUTED_VALUE"""),0.5)</f>
        <v>0.5</v>
      </c>
      <c r="I42" s="53">
        <f>IFERROR(__xludf.DUMMYFUNCTION("""COMPUTED_VALUE"""),0.0)</f>
        <v>0</v>
      </c>
      <c r="J42" s="53"/>
      <c r="K42" s="53">
        <f>IFERROR(__xludf.DUMMYFUNCTION("""COMPUTED_VALUE"""),0.0)</f>
        <v>0</v>
      </c>
      <c r="L42" s="53"/>
      <c r="M42" s="53">
        <f>IFERROR(__xludf.DUMMYFUNCTION("""COMPUTED_VALUE"""),0.0)</f>
        <v>0</v>
      </c>
      <c r="N42" s="53"/>
      <c r="O42" s="53">
        <f>IFERROR(__xludf.DUMMYFUNCTION("""COMPUTED_VALUE"""),0.0)</f>
        <v>0</v>
      </c>
      <c r="P42" s="53"/>
      <c r="Q42" s="53">
        <f>IFERROR(__xludf.DUMMYFUNCTION("""COMPUTED_VALUE"""),0.0)</f>
        <v>0</v>
      </c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>
        <f>IFERROR(__xludf.DUMMYFUNCTION("""COMPUTED_VALUE"""),0.0)</f>
        <v>0</v>
      </c>
      <c r="AF42" s="53">
        <f>IFERROR(__xludf.DUMMYFUNCTION("""COMPUTED_VALUE"""),0.0)</f>
        <v>0</v>
      </c>
      <c r="AG42" s="53">
        <f>IFERROR(__xludf.DUMMYFUNCTION("""COMPUTED_VALUE"""),0.0)</f>
        <v>0</v>
      </c>
      <c r="AH42" s="53">
        <f>IFERROR(__xludf.DUMMYFUNCTION("""COMPUTED_VALUE"""),0.0)</f>
        <v>0</v>
      </c>
      <c r="AI42" s="53">
        <f>IFERROR(__xludf.DUMMYFUNCTION("""COMPUTED_VALUE"""),0.0)</f>
        <v>0</v>
      </c>
      <c r="AJ42" s="53">
        <f>IFERROR(__xludf.DUMMYFUNCTION("""COMPUTED_VALUE"""),0.0)</f>
        <v>0</v>
      </c>
      <c r="AK42" s="53">
        <f>IFERROR(__xludf.DUMMYFUNCTION("""COMPUTED_VALUE"""),0.0)</f>
        <v>0</v>
      </c>
      <c r="AL42" s="53">
        <f>IFERROR(__xludf.DUMMYFUNCTION("""COMPUTED_VALUE"""),0.0)</f>
        <v>0</v>
      </c>
      <c r="AM42" s="53"/>
      <c r="AN42" s="54">
        <f>IFERROR(__xludf.DUMMYFUNCTION("""COMPUTED_VALUE"""),0.0)</f>
        <v>0</v>
      </c>
      <c r="AO42" s="51">
        <f>IFERROR(__xludf.DUMMYFUNCTION("""COMPUTED_VALUE"""),0.0)</f>
        <v>0</v>
      </c>
      <c r="AP42" s="51">
        <f>IFERROR(__xludf.DUMMYFUNCTION("""COMPUTED_VALUE"""),0.0)</f>
        <v>0</v>
      </c>
      <c r="AQ42" s="55">
        <f>IFERROR(__xludf.DUMMYFUNCTION("""COMPUTED_VALUE"""),0.0)</f>
        <v>0</v>
      </c>
      <c r="AR42" s="49"/>
      <c r="AS42" s="49"/>
      <c r="AT42" s="49"/>
      <c r="AU42" s="49"/>
      <c r="AV42" s="49"/>
      <c r="AW42" s="49"/>
      <c r="AX42" s="49"/>
      <c r="AY42" s="49"/>
      <c r="AZ42" s="49"/>
      <c r="BA42" s="49"/>
    </row>
    <row r="43">
      <c r="A43" s="18">
        <f>IFERROR(__xludf.DUMMYFUNCTION("""COMPUTED_VALUE"""),33.0)</f>
        <v>33</v>
      </c>
      <c r="B43" s="32" t="str">
        <f>IFERROR(__xludf.DUMMYFUNCTION("""COMPUTED_VALUE"""),"1000058127")</f>
        <v>1000058127</v>
      </c>
      <c r="C43" s="18" t="str">
        <f>IFERROR(__xludf.DUMMYFUNCTION("""COMPUTED_VALUE"""),"Tasnia Nawshin")</f>
        <v>Tasnia Nawshin</v>
      </c>
      <c r="D43" s="15" t="str">
        <f>IFERROR(__xludf.DUMMYFUNCTION("""COMPUTED_VALUE"""),"CSE")</f>
        <v>CSE</v>
      </c>
      <c r="E43" s="15" t="str">
        <f>IFERROR(__xludf.DUMMYFUNCTION("""COMPUTED_VALUE"""),"nonni31415@gmail.com")</f>
        <v>nonni31415@gmail.com</v>
      </c>
      <c r="F43" s="33">
        <f>IFERROR(__xludf.DUMMYFUNCTION("""COMPUTED_VALUE"""),8.801716702193E12)</f>
        <v>8801716702193</v>
      </c>
      <c r="G43" s="22">
        <f>IFERROR(__xludf.DUMMYFUNCTION("""COMPUTED_VALUE"""),0.0)</f>
        <v>0</v>
      </c>
      <c r="H43" s="34">
        <f>IFERROR(__xludf.DUMMYFUNCTION("""COMPUTED_VALUE"""),1.0)</f>
        <v>1</v>
      </c>
      <c r="I43" s="35">
        <f>IFERROR(__xludf.DUMMYFUNCTION("""COMPUTED_VALUE"""),1.0)</f>
        <v>1</v>
      </c>
      <c r="J43" s="35"/>
      <c r="K43" s="35">
        <f>IFERROR(__xludf.DUMMYFUNCTION("""COMPUTED_VALUE"""),1.0)</f>
        <v>1</v>
      </c>
      <c r="L43" s="35">
        <f>IFERROR(__xludf.DUMMYFUNCTION("""COMPUTED_VALUE"""),5.0)</f>
        <v>5</v>
      </c>
      <c r="M43" s="35">
        <f>IFERROR(__xludf.DUMMYFUNCTION("""COMPUTED_VALUE"""),1.0)</f>
        <v>1</v>
      </c>
      <c r="N43" s="35">
        <f>IFERROR(__xludf.DUMMYFUNCTION("""COMPUTED_VALUE"""),7.0)</f>
        <v>7</v>
      </c>
      <c r="O43" s="35">
        <f>IFERROR(__xludf.DUMMYFUNCTION("""COMPUTED_VALUE"""),1.0)</f>
        <v>1</v>
      </c>
      <c r="P43" s="35"/>
      <c r="Q43" s="35">
        <f>IFERROR(__xludf.DUMMYFUNCTION("""COMPUTED_VALUE"""),1.0)</f>
        <v>1</v>
      </c>
      <c r="R43" s="35">
        <f>IFERROR(__xludf.DUMMYFUNCTION("""COMPUTED_VALUE"""),10.0)</f>
        <v>10</v>
      </c>
      <c r="S43" s="35">
        <f>IFERROR(__xludf.DUMMYFUNCTION("""COMPUTED_VALUE"""),1.0)</f>
        <v>1</v>
      </c>
      <c r="T43" s="35">
        <f>IFERROR(__xludf.DUMMYFUNCTION("""COMPUTED_VALUE"""),5.0)</f>
        <v>5</v>
      </c>
      <c r="U43" s="35">
        <f>IFERROR(__xludf.DUMMYFUNCTION("""COMPUTED_VALUE"""),1.0)</f>
        <v>1</v>
      </c>
      <c r="V43" s="35">
        <f>IFERROR(__xludf.DUMMYFUNCTION("""COMPUTED_VALUE"""),8.0)</f>
        <v>8</v>
      </c>
      <c r="W43" s="35">
        <f>IFERROR(__xludf.DUMMYFUNCTION("""COMPUTED_VALUE"""),1.0)</f>
        <v>1</v>
      </c>
      <c r="X43" s="35">
        <f>IFERROR(__xludf.DUMMYFUNCTION("""COMPUTED_VALUE"""),7.0)</f>
        <v>7</v>
      </c>
      <c r="Y43" s="35">
        <f>IFERROR(__xludf.DUMMYFUNCTION("""COMPUTED_VALUE"""),1.0)</f>
        <v>1</v>
      </c>
      <c r="Z43" s="35"/>
      <c r="AA43" s="35"/>
      <c r="AB43" s="35"/>
      <c r="AC43" s="35"/>
      <c r="AD43" s="35"/>
      <c r="AE43" s="35">
        <f>IFERROR(__xludf.DUMMYFUNCTION("""COMPUTED_VALUE"""),5.0)</f>
        <v>5</v>
      </c>
      <c r="AF43" s="35">
        <f>IFERROR(__xludf.DUMMYFUNCTION("""COMPUTED_VALUE"""),5.0)</f>
        <v>5</v>
      </c>
      <c r="AG43" s="35">
        <f>IFERROR(__xludf.DUMMYFUNCTION("""COMPUTED_VALUE"""),5.0)</f>
        <v>5</v>
      </c>
      <c r="AH43" s="35">
        <f>IFERROR(__xludf.DUMMYFUNCTION("""COMPUTED_VALUE"""),5.0)</f>
        <v>5</v>
      </c>
      <c r="AI43" s="35">
        <f>IFERROR(__xludf.DUMMYFUNCTION("""COMPUTED_VALUE"""),5.0)</f>
        <v>5</v>
      </c>
      <c r="AJ43" s="35">
        <f>IFERROR(__xludf.DUMMYFUNCTION("""COMPUTED_VALUE"""),5.0)</f>
        <v>5</v>
      </c>
      <c r="AK43" s="35">
        <f>IFERROR(__xludf.DUMMYFUNCTION("""COMPUTED_VALUE"""),5.0)</f>
        <v>5</v>
      </c>
      <c r="AL43" s="35">
        <f>IFERROR(__xludf.DUMMYFUNCTION("""COMPUTED_VALUE"""),5.0)</f>
        <v>5</v>
      </c>
      <c r="AM43" s="35"/>
      <c r="AN43" s="36">
        <f>IFERROR(__xludf.DUMMYFUNCTION("""COMPUTED_VALUE"""),2.0)</f>
        <v>2</v>
      </c>
      <c r="AO43" s="22">
        <f>IFERROR(__xludf.DUMMYFUNCTION("""COMPUTED_VALUE"""),3.0)</f>
        <v>3</v>
      </c>
      <c r="AP43" s="22">
        <f>IFERROR(__xludf.DUMMYFUNCTION("""COMPUTED_VALUE"""),16.666666666666668)</f>
        <v>16.66666667</v>
      </c>
      <c r="AQ43" s="37">
        <f>IFERROR(__xludf.DUMMYFUNCTION("""COMPUTED_VALUE"""),21.75)</f>
        <v>21.75</v>
      </c>
    </row>
    <row r="44">
      <c r="A44" s="18">
        <f>IFERROR(__xludf.DUMMYFUNCTION("""COMPUTED_VALUE"""),34.0)</f>
        <v>34</v>
      </c>
      <c r="B44" s="32" t="str">
        <f>IFERROR(__xludf.DUMMYFUNCTION("""COMPUTED_VALUE"""),"1000058230")</f>
        <v>1000058230</v>
      </c>
      <c r="C44" s="18" t="str">
        <f>IFERROR(__xludf.DUMMYFUNCTION("""COMPUTED_VALUE"""),"Rafia Subah Zebah")</f>
        <v>Rafia Subah Zebah</v>
      </c>
      <c r="D44" s="15" t="str">
        <f>IFERROR(__xludf.DUMMYFUNCTION("""COMPUTED_VALUE"""),"BBA")</f>
        <v>BBA</v>
      </c>
      <c r="E44" s="15" t="str">
        <f>IFERROR(__xludf.DUMMYFUNCTION("""COMPUTED_VALUE"""),"rafiasubah37@gmail.com")</f>
        <v>rafiasubah37@gmail.com</v>
      </c>
      <c r="F44" s="33">
        <f>IFERROR(__xludf.DUMMYFUNCTION("""COMPUTED_VALUE"""),8.801312441332E12)</f>
        <v>8801312441332</v>
      </c>
      <c r="G44" s="22">
        <f>IFERROR(__xludf.DUMMYFUNCTION("""COMPUTED_VALUE"""),0.0)</f>
        <v>0</v>
      </c>
      <c r="H44" s="34">
        <f>IFERROR(__xludf.DUMMYFUNCTION("""COMPUTED_VALUE"""),1.0)</f>
        <v>1</v>
      </c>
      <c r="I44" s="35">
        <f>IFERROR(__xludf.DUMMYFUNCTION("""COMPUTED_VALUE"""),1.0)</f>
        <v>1</v>
      </c>
      <c r="J44" s="35"/>
      <c r="K44" s="35">
        <f>IFERROR(__xludf.DUMMYFUNCTION("""COMPUTED_VALUE"""),1.0)</f>
        <v>1</v>
      </c>
      <c r="L44" s="35">
        <f>IFERROR(__xludf.DUMMYFUNCTION("""COMPUTED_VALUE"""),5.0)</f>
        <v>5</v>
      </c>
      <c r="M44" s="35">
        <f>IFERROR(__xludf.DUMMYFUNCTION("""COMPUTED_VALUE"""),1.0)</f>
        <v>1</v>
      </c>
      <c r="N44" s="35">
        <f>IFERROR(__xludf.DUMMYFUNCTION("""COMPUTED_VALUE"""),10.0)</f>
        <v>10</v>
      </c>
      <c r="O44" s="35">
        <f>IFERROR(__xludf.DUMMYFUNCTION("""COMPUTED_VALUE"""),1.0)</f>
        <v>1</v>
      </c>
      <c r="P44" s="35"/>
      <c r="Q44" s="35">
        <f>IFERROR(__xludf.DUMMYFUNCTION("""COMPUTED_VALUE"""),1.0)</f>
        <v>1</v>
      </c>
      <c r="R44" s="35">
        <f>IFERROR(__xludf.DUMMYFUNCTION("""COMPUTED_VALUE"""),10.0)</f>
        <v>10</v>
      </c>
      <c r="S44" s="35">
        <f>IFERROR(__xludf.DUMMYFUNCTION("""COMPUTED_VALUE"""),1.0)</f>
        <v>1</v>
      </c>
      <c r="T44" s="35">
        <f>IFERROR(__xludf.DUMMYFUNCTION("""COMPUTED_VALUE"""),5.0)</f>
        <v>5</v>
      </c>
      <c r="U44" s="35">
        <f>IFERROR(__xludf.DUMMYFUNCTION("""COMPUTED_VALUE"""),1.0)</f>
        <v>1</v>
      </c>
      <c r="V44" s="35">
        <f>IFERROR(__xludf.DUMMYFUNCTION("""COMPUTED_VALUE"""),9.0)</f>
        <v>9</v>
      </c>
      <c r="W44" s="35">
        <f>IFERROR(__xludf.DUMMYFUNCTION("""COMPUTED_VALUE"""),1.0)</f>
        <v>1</v>
      </c>
      <c r="X44" s="35">
        <f>IFERROR(__xludf.DUMMYFUNCTION("""COMPUTED_VALUE"""),10.0)</f>
        <v>10</v>
      </c>
      <c r="Y44" s="35">
        <f>IFERROR(__xludf.DUMMYFUNCTION("""COMPUTED_VALUE"""),1.0)</f>
        <v>1</v>
      </c>
      <c r="Z44" s="35"/>
      <c r="AA44" s="35"/>
      <c r="AB44" s="35"/>
      <c r="AC44" s="35"/>
      <c r="AD44" s="35"/>
      <c r="AE44" s="35">
        <f>IFERROR(__xludf.DUMMYFUNCTION("""COMPUTED_VALUE"""),5.0)</f>
        <v>5</v>
      </c>
      <c r="AF44" s="35">
        <f>IFERROR(__xludf.DUMMYFUNCTION("""COMPUTED_VALUE"""),5.0)</f>
        <v>5</v>
      </c>
      <c r="AG44" s="35">
        <f>IFERROR(__xludf.DUMMYFUNCTION("""COMPUTED_VALUE"""),5.0)</f>
        <v>5</v>
      </c>
      <c r="AH44" s="35">
        <f>IFERROR(__xludf.DUMMYFUNCTION("""COMPUTED_VALUE"""),5.0)</f>
        <v>5</v>
      </c>
      <c r="AI44" s="35">
        <f>IFERROR(__xludf.DUMMYFUNCTION("""COMPUTED_VALUE"""),5.0)</f>
        <v>5</v>
      </c>
      <c r="AJ44" s="35">
        <f>IFERROR(__xludf.DUMMYFUNCTION("""COMPUTED_VALUE"""),5.0)</f>
        <v>5</v>
      </c>
      <c r="AK44" s="35">
        <f>IFERROR(__xludf.DUMMYFUNCTION("""COMPUTED_VALUE"""),5.0)</f>
        <v>5</v>
      </c>
      <c r="AL44" s="35">
        <f>IFERROR(__xludf.DUMMYFUNCTION("""COMPUTED_VALUE"""),5.0)</f>
        <v>5</v>
      </c>
      <c r="AM44" s="35"/>
      <c r="AN44" s="36">
        <f>IFERROR(__xludf.DUMMYFUNCTION("""COMPUTED_VALUE"""),2.0)</f>
        <v>2</v>
      </c>
      <c r="AO44" s="22">
        <f>IFERROR(__xludf.DUMMYFUNCTION("""COMPUTED_VALUE"""),3.0)</f>
        <v>3</v>
      </c>
      <c r="AP44" s="22">
        <f>IFERROR(__xludf.DUMMYFUNCTION("""COMPUTED_VALUE"""),20.0)</f>
        <v>20</v>
      </c>
      <c r="AQ44" s="37">
        <f>IFERROR(__xludf.DUMMYFUNCTION("""COMPUTED_VALUE"""),25.0)</f>
        <v>25</v>
      </c>
    </row>
    <row r="45">
      <c r="A45" s="18">
        <f>IFERROR(__xludf.DUMMYFUNCTION("""COMPUTED_VALUE"""),35.0)</f>
        <v>35</v>
      </c>
      <c r="B45" s="32" t="str">
        <f>IFERROR(__xludf.DUMMYFUNCTION("""COMPUTED_VALUE"""),"1000058314")</f>
        <v>1000058314</v>
      </c>
      <c r="C45" s="18" t="str">
        <f>IFERROR(__xludf.DUMMYFUNCTION("""COMPUTED_VALUE"""),"SHAFI NUR")</f>
        <v>SHAFI NUR</v>
      </c>
      <c r="D45" s="15" t="str">
        <f>IFERROR(__xludf.DUMMYFUNCTION("""COMPUTED_VALUE"""),"BBA")</f>
        <v>BBA</v>
      </c>
      <c r="E45" s="15" t="str">
        <f>IFERROR(__xludf.DUMMYFUNCTION("""COMPUTED_VALUE"""),"shafinurofficial@gmail.com")</f>
        <v>shafinurofficial@gmail.com</v>
      </c>
      <c r="F45" s="33">
        <f>IFERROR(__xludf.DUMMYFUNCTION("""COMPUTED_VALUE"""),8.801533865069E12)</f>
        <v>8801533865069</v>
      </c>
      <c r="G45" s="22">
        <f>IFERROR(__xludf.DUMMYFUNCTION("""COMPUTED_VALUE"""),0.0)</f>
        <v>0</v>
      </c>
      <c r="H45" s="34">
        <f>IFERROR(__xludf.DUMMYFUNCTION("""COMPUTED_VALUE"""),1.0)</f>
        <v>1</v>
      </c>
      <c r="I45" s="35">
        <f>IFERROR(__xludf.DUMMYFUNCTION("""COMPUTED_VALUE"""),1.0)</f>
        <v>1</v>
      </c>
      <c r="J45" s="35"/>
      <c r="K45" s="35">
        <f>IFERROR(__xludf.DUMMYFUNCTION("""COMPUTED_VALUE"""),1.0)</f>
        <v>1</v>
      </c>
      <c r="L45" s="35">
        <f>IFERROR(__xludf.DUMMYFUNCTION("""COMPUTED_VALUE"""),3.0)</f>
        <v>3</v>
      </c>
      <c r="M45" s="35">
        <f>IFERROR(__xludf.DUMMYFUNCTION("""COMPUTED_VALUE"""),1.0)</f>
        <v>1</v>
      </c>
      <c r="N45" s="35">
        <f>IFERROR(__xludf.DUMMYFUNCTION("""COMPUTED_VALUE"""),6.0)</f>
        <v>6</v>
      </c>
      <c r="O45" s="35">
        <f>IFERROR(__xludf.DUMMYFUNCTION("""COMPUTED_VALUE"""),1.0)</f>
        <v>1</v>
      </c>
      <c r="P45" s="35"/>
      <c r="Q45" s="35">
        <f>IFERROR(__xludf.DUMMYFUNCTION("""COMPUTED_VALUE"""),1.0)</f>
        <v>1</v>
      </c>
      <c r="R45" s="35">
        <f>IFERROR(__xludf.DUMMYFUNCTION("""COMPUTED_VALUE"""),10.0)</f>
        <v>10</v>
      </c>
      <c r="S45" s="35">
        <f>IFERROR(__xludf.DUMMYFUNCTION("""COMPUTED_VALUE"""),1.0)</f>
        <v>1</v>
      </c>
      <c r="T45" s="35">
        <f>IFERROR(__xludf.DUMMYFUNCTION("""COMPUTED_VALUE"""),3.5)</f>
        <v>3.5</v>
      </c>
      <c r="U45" s="35">
        <f>IFERROR(__xludf.DUMMYFUNCTION("""COMPUTED_VALUE"""),1.0)</f>
        <v>1</v>
      </c>
      <c r="V45" s="35">
        <f>IFERROR(__xludf.DUMMYFUNCTION("""COMPUTED_VALUE"""),10.0)</f>
        <v>10</v>
      </c>
      <c r="W45" s="35">
        <f>IFERROR(__xludf.DUMMYFUNCTION("""COMPUTED_VALUE"""),1.0)</f>
        <v>1</v>
      </c>
      <c r="X45" s="35">
        <f>IFERROR(__xludf.DUMMYFUNCTION("""COMPUTED_VALUE"""),6.0)</f>
        <v>6</v>
      </c>
      <c r="Y45" s="35">
        <f>IFERROR(__xludf.DUMMYFUNCTION("""COMPUTED_VALUE"""),1.0)</f>
        <v>1</v>
      </c>
      <c r="Z45" s="35"/>
      <c r="AA45" s="35"/>
      <c r="AB45" s="35"/>
      <c r="AC45" s="35"/>
      <c r="AD45" s="35"/>
      <c r="AE45" s="35">
        <f>IFERROR(__xludf.DUMMYFUNCTION("""COMPUTED_VALUE"""),5.0)</f>
        <v>5</v>
      </c>
      <c r="AF45" s="35">
        <f>IFERROR(__xludf.DUMMYFUNCTION("""COMPUTED_VALUE"""),5.0)</f>
        <v>5</v>
      </c>
      <c r="AG45" s="35">
        <f>IFERROR(__xludf.DUMMYFUNCTION("""COMPUTED_VALUE"""),5.0)</f>
        <v>5</v>
      </c>
      <c r="AH45" s="35">
        <f>IFERROR(__xludf.DUMMYFUNCTION("""COMPUTED_VALUE"""),5.0)</f>
        <v>5</v>
      </c>
      <c r="AI45" s="35">
        <f>IFERROR(__xludf.DUMMYFUNCTION("""COMPUTED_VALUE"""),5.0)</f>
        <v>5</v>
      </c>
      <c r="AJ45" s="35">
        <f>IFERROR(__xludf.DUMMYFUNCTION("""COMPUTED_VALUE"""),5.0)</f>
        <v>5</v>
      </c>
      <c r="AK45" s="35">
        <f>IFERROR(__xludf.DUMMYFUNCTION("""COMPUTED_VALUE"""),5.0)</f>
        <v>5</v>
      </c>
      <c r="AL45" s="35">
        <f>IFERROR(__xludf.DUMMYFUNCTION("""COMPUTED_VALUE"""),5.0)</f>
        <v>5</v>
      </c>
      <c r="AM45" s="35"/>
      <c r="AN45" s="36">
        <f>IFERROR(__xludf.DUMMYFUNCTION("""COMPUTED_VALUE"""),2.0)</f>
        <v>2</v>
      </c>
      <c r="AO45" s="22">
        <f>IFERROR(__xludf.DUMMYFUNCTION("""COMPUTED_VALUE"""),1.95)</f>
        <v>1.95</v>
      </c>
      <c r="AP45" s="22">
        <f>IFERROR(__xludf.DUMMYFUNCTION("""COMPUTED_VALUE"""),17.333333333333332)</f>
        <v>17.33333333</v>
      </c>
      <c r="AQ45" s="37">
        <f>IFERROR(__xludf.DUMMYFUNCTION("""COMPUTED_VALUE"""),21.5)</f>
        <v>21.5</v>
      </c>
    </row>
    <row r="46">
      <c r="A46" s="18">
        <f>IFERROR(__xludf.DUMMYFUNCTION("""COMPUTED_VALUE"""),36.0)</f>
        <v>36</v>
      </c>
      <c r="B46" s="32" t="str">
        <f>IFERROR(__xludf.DUMMYFUNCTION("""COMPUTED_VALUE"""),"1000058877")</f>
        <v>1000058877</v>
      </c>
      <c r="C46" s="18" t="str">
        <f>IFERROR(__xludf.DUMMYFUNCTION("""COMPUTED_VALUE"""),"Khandaker Ruwaifee Amin")</f>
        <v>Khandaker Ruwaifee Amin</v>
      </c>
      <c r="D46" s="15" t="str">
        <f>IFERROR(__xludf.DUMMYFUNCTION("""COMPUTED_VALUE"""),"CSE")</f>
        <v>CSE</v>
      </c>
      <c r="E46" s="15" t="str">
        <f>IFERROR(__xludf.DUMMYFUNCTION("""COMPUTED_VALUE"""),"ruwaifeeamin2020@gmail.com")</f>
        <v>ruwaifeeamin2020@gmail.com</v>
      </c>
      <c r="F46" s="33">
        <f>IFERROR(__xludf.DUMMYFUNCTION("""COMPUTED_VALUE"""),8.801989211065E12)</f>
        <v>8801989211065</v>
      </c>
      <c r="G46" s="22">
        <f>IFERROR(__xludf.DUMMYFUNCTION("""COMPUTED_VALUE"""),0.0)</f>
        <v>0</v>
      </c>
      <c r="H46" s="34">
        <f>IFERROR(__xludf.DUMMYFUNCTION("""COMPUTED_VALUE"""),1.0)</f>
        <v>1</v>
      </c>
      <c r="I46" s="35">
        <f>IFERROR(__xludf.DUMMYFUNCTION("""COMPUTED_VALUE"""),1.0)</f>
        <v>1</v>
      </c>
      <c r="J46" s="35"/>
      <c r="K46" s="35">
        <f>IFERROR(__xludf.DUMMYFUNCTION("""COMPUTED_VALUE"""),1.0)</f>
        <v>1</v>
      </c>
      <c r="L46" s="35">
        <f>IFERROR(__xludf.DUMMYFUNCTION("""COMPUTED_VALUE"""),4.0)</f>
        <v>4</v>
      </c>
      <c r="M46" s="35">
        <f>IFERROR(__xludf.DUMMYFUNCTION("""COMPUTED_VALUE"""),1.0)</f>
        <v>1</v>
      </c>
      <c r="N46" s="35">
        <f>IFERROR(__xludf.DUMMYFUNCTION("""COMPUTED_VALUE"""),1.0)</f>
        <v>1</v>
      </c>
      <c r="O46" s="35">
        <f>IFERROR(__xludf.DUMMYFUNCTION("""COMPUTED_VALUE"""),1.0)</f>
        <v>1</v>
      </c>
      <c r="P46" s="35"/>
      <c r="Q46" s="35">
        <f>IFERROR(__xludf.DUMMYFUNCTION("""COMPUTED_VALUE"""),1.0)</f>
        <v>1</v>
      </c>
      <c r="R46" s="35">
        <f>IFERROR(__xludf.DUMMYFUNCTION("""COMPUTED_VALUE"""),2.0)</f>
        <v>2</v>
      </c>
      <c r="S46" s="35">
        <f>IFERROR(__xludf.DUMMYFUNCTION("""COMPUTED_VALUE"""),1.0)</f>
        <v>1</v>
      </c>
      <c r="T46" s="35">
        <f>IFERROR(__xludf.DUMMYFUNCTION("""COMPUTED_VALUE"""),4.5)</f>
        <v>4.5</v>
      </c>
      <c r="U46" s="35">
        <f>IFERROR(__xludf.DUMMYFUNCTION("""COMPUTED_VALUE"""),1.0)</f>
        <v>1</v>
      </c>
      <c r="V46" s="35">
        <f>IFERROR(__xludf.DUMMYFUNCTION("""COMPUTED_VALUE"""),3.0)</f>
        <v>3</v>
      </c>
      <c r="W46" s="35">
        <f>IFERROR(__xludf.DUMMYFUNCTION("""COMPUTED_VALUE"""),1.0)</f>
        <v>1</v>
      </c>
      <c r="X46" s="35">
        <f>IFERROR(__xludf.DUMMYFUNCTION("""COMPUTED_VALUE"""),5.0)</f>
        <v>5</v>
      </c>
      <c r="Y46" s="35">
        <f>IFERROR(__xludf.DUMMYFUNCTION("""COMPUTED_VALUE"""),1.0)</f>
        <v>1</v>
      </c>
      <c r="Z46" s="35"/>
      <c r="AA46" s="35"/>
      <c r="AB46" s="35"/>
      <c r="AC46" s="35"/>
      <c r="AD46" s="35"/>
      <c r="AE46" s="35">
        <f>IFERROR(__xludf.DUMMYFUNCTION("""COMPUTED_VALUE"""),5.0)</f>
        <v>5</v>
      </c>
      <c r="AF46" s="35">
        <f>IFERROR(__xludf.DUMMYFUNCTION("""COMPUTED_VALUE"""),5.0)</f>
        <v>5</v>
      </c>
      <c r="AG46" s="35">
        <f>IFERROR(__xludf.DUMMYFUNCTION("""COMPUTED_VALUE"""),5.0)</f>
        <v>5</v>
      </c>
      <c r="AH46" s="35">
        <f>IFERROR(__xludf.DUMMYFUNCTION("""COMPUTED_VALUE"""),5.0)</f>
        <v>5</v>
      </c>
      <c r="AI46" s="35">
        <f>IFERROR(__xludf.DUMMYFUNCTION("""COMPUTED_VALUE"""),5.0)</f>
        <v>5</v>
      </c>
      <c r="AJ46" s="35">
        <f>IFERROR(__xludf.DUMMYFUNCTION("""COMPUTED_VALUE"""),5.0)</f>
        <v>5</v>
      </c>
      <c r="AK46" s="35">
        <f>IFERROR(__xludf.DUMMYFUNCTION("""COMPUTED_VALUE"""),5.0)</f>
        <v>5</v>
      </c>
      <c r="AL46" s="35">
        <f>IFERROR(__xludf.DUMMYFUNCTION("""COMPUTED_VALUE"""),5.0)</f>
        <v>5</v>
      </c>
      <c r="AM46" s="35"/>
      <c r="AN46" s="36">
        <f>IFERROR(__xludf.DUMMYFUNCTION("""COMPUTED_VALUE"""),2.0)</f>
        <v>2</v>
      </c>
      <c r="AO46" s="22">
        <f>IFERROR(__xludf.DUMMYFUNCTION("""COMPUTED_VALUE"""),2.55)</f>
        <v>2.55</v>
      </c>
      <c r="AP46" s="22">
        <f>IFERROR(__xludf.DUMMYFUNCTION("""COMPUTED_VALUE"""),6.666666666666667)</f>
        <v>6.666666667</v>
      </c>
      <c r="AQ46" s="37">
        <f>IFERROR(__xludf.DUMMYFUNCTION("""COMPUTED_VALUE"""),11.25)</f>
        <v>11.25</v>
      </c>
    </row>
    <row r="47">
      <c r="A47" s="18">
        <f>IFERROR(__xludf.DUMMYFUNCTION("""COMPUTED_VALUE"""),37.0)</f>
        <v>37</v>
      </c>
      <c r="B47" s="32" t="str">
        <f>IFERROR(__xludf.DUMMYFUNCTION("""COMPUTED_VALUE"""),"1000058927")</f>
        <v>1000058927</v>
      </c>
      <c r="C47" s="18" t="str">
        <f>IFERROR(__xludf.DUMMYFUNCTION("""COMPUTED_VALUE"""),"FAIZUR MEHJABIN SHARMIKA")</f>
        <v>FAIZUR MEHJABIN SHARMIKA</v>
      </c>
      <c r="D47" s="15" t="str">
        <f>IFERROR(__xludf.DUMMYFUNCTION("""COMPUTED_VALUE"""),"BBA")</f>
        <v>BBA</v>
      </c>
      <c r="E47" s="15" t="str">
        <f>IFERROR(__xludf.DUMMYFUNCTION("""COMPUTED_VALUE"""),"mehjabinsharmika@gmail.com")</f>
        <v>mehjabinsharmika@gmail.com</v>
      </c>
      <c r="F47" s="33">
        <f>IFERROR(__xludf.DUMMYFUNCTION("""COMPUTED_VALUE"""),8.80130253764E12)</f>
        <v>8801302537640</v>
      </c>
      <c r="G47" s="22">
        <f>IFERROR(__xludf.DUMMYFUNCTION("""COMPUTED_VALUE"""),0.0)</f>
        <v>0</v>
      </c>
      <c r="H47" s="34">
        <f>IFERROR(__xludf.DUMMYFUNCTION("""COMPUTED_VALUE"""),1.0)</f>
        <v>1</v>
      </c>
      <c r="I47" s="35">
        <f>IFERROR(__xludf.DUMMYFUNCTION("""COMPUTED_VALUE"""),1.0)</f>
        <v>1</v>
      </c>
      <c r="J47" s="35"/>
      <c r="K47" s="35">
        <f>IFERROR(__xludf.DUMMYFUNCTION("""COMPUTED_VALUE"""),1.0)</f>
        <v>1</v>
      </c>
      <c r="L47" s="35">
        <f>IFERROR(__xludf.DUMMYFUNCTION("""COMPUTED_VALUE"""),5.0)</f>
        <v>5</v>
      </c>
      <c r="M47" s="35">
        <f>IFERROR(__xludf.DUMMYFUNCTION("""COMPUTED_VALUE"""),1.0)</f>
        <v>1</v>
      </c>
      <c r="N47" s="35">
        <f>IFERROR(__xludf.DUMMYFUNCTION("""COMPUTED_VALUE"""),4.0)</f>
        <v>4</v>
      </c>
      <c r="O47" s="35">
        <f>IFERROR(__xludf.DUMMYFUNCTION("""COMPUTED_VALUE"""),1.0)</f>
        <v>1</v>
      </c>
      <c r="P47" s="35"/>
      <c r="Q47" s="35">
        <f>IFERROR(__xludf.DUMMYFUNCTION("""COMPUTED_VALUE"""),1.0)</f>
        <v>1</v>
      </c>
      <c r="R47" s="35">
        <f>IFERROR(__xludf.DUMMYFUNCTION("""COMPUTED_VALUE"""),10.0)</f>
        <v>10</v>
      </c>
      <c r="S47" s="35">
        <f>IFERROR(__xludf.DUMMYFUNCTION("""COMPUTED_VALUE"""),1.0)</f>
        <v>1</v>
      </c>
      <c r="T47" s="35">
        <f>IFERROR(__xludf.DUMMYFUNCTION("""COMPUTED_VALUE"""),3.5)</f>
        <v>3.5</v>
      </c>
      <c r="U47" s="35">
        <f>IFERROR(__xludf.DUMMYFUNCTION("""COMPUTED_VALUE"""),1.0)</f>
        <v>1</v>
      </c>
      <c r="V47" s="35">
        <f>IFERROR(__xludf.DUMMYFUNCTION("""COMPUTED_VALUE"""),4.0)</f>
        <v>4</v>
      </c>
      <c r="W47" s="35">
        <f>IFERROR(__xludf.DUMMYFUNCTION("""COMPUTED_VALUE"""),1.0)</f>
        <v>1</v>
      </c>
      <c r="X47" s="35">
        <f>IFERROR(__xludf.DUMMYFUNCTION("""COMPUTED_VALUE"""),3.0)</f>
        <v>3</v>
      </c>
      <c r="Y47" s="35">
        <f>IFERROR(__xludf.DUMMYFUNCTION("""COMPUTED_VALUE"""),1.0)</f>
        <v>1</v>
      </c>
      <c r="Z47" s="35"/>
      <c r="AA47" s="35"/>
      <c r="AB47" s="35"/>
      <c r="AC47" s="35"/>
      <c r="AD47" s="35"/>
      <c r="AE47" s="35">
        <f>IFERROR(__xludf.DUMMYFUNCTION("""COMPUTED_VALUE"""),0.0)</f>
        <v>0</v>
      </c>
      <c r="AF47" s="35">
        <f>IFERROR(__xludf.DUMMYFUNCTION("""COMPUTED_VALUE"""),0.0)</f>
        <v>0</v>
      </c>
      <c r="AG47" s="35">
        <f>IFERROR(__xludf.DUMMYFUNCTION("""COMPUTED_VALUE"""),5.0)</f>
        <v>5</v>
      </c>
      <c r="AH47" s="35">
        <f>IFERROR(__xludf.DUMMYFUNCTION("""COMPUTED_VALUE"""),5.0)</f>
        <v>5</v>
      </c>
      <c r="AI47" s="35">
        <f>IFERROR(__xludf.DUMMYFUNCTION("""COMPUTED_VALUE"""),0.0)</f>
        <v>0</v>
      </c>
      <c r="AJ47" s="35">
        <f>IFERROR(__xludf.DUMMYFUNCTION("""COMPUTED_VALUE"""),5.0)</f>
        <v>5</v>
      </c>
      <c r="AK47" s="35">
        <f>IFERROR(__xludf.DUMMYFUNCTION("""COMPUTED_VALUE"""),5.0)</f>
        <v>5</v>
      </c>
      <c r="AL47" s="35">
        <f>IFERROR(__xludf.DUMMYFUNCTION("""COMPUTED_VALUE"""),5.0)</f>
        <v>5</v>
      </c>
      <c r="AM47" s="35"/>
      <c r="AN47" s="36">
        <f>IFERROR(__xludf.DUMMYFUNCTION("""COMPUTED_VALUE"""),1.25)</f>
        <v>1.25</v>
      </c>
      <c r="AO47" s="22">
        <f>IFERROR(__xludf.DUMMYFUNCTION("""COMPUTED_VALUE"""),2.55)</f>
        <v>2.55</v>
      </c>
      <c r="AP47" s="22">
        <f>IFERROR(__xludf.DUMMYFUNCTION("""COMPUTED_VALUE"""),12.0)</f>
        <v>12</v>
      </c>
      <c r="AQ47" s="37">
        <f>IFERROR(__xludf.DUMMYFUNCTION("""COMPUTED_VALUE"""),16.0)</f>
        <v>16</v>
      </c>
    </row>
    <row r="48">
      <c r="A48" s="18">
        <f>IFERROR(__xludf.DUMMYFUNCTION("""COMPUTED_VALUE"""),38.0)</f>
        <v>38</v>
      </c>
      <c r="B48" s="32" t="str">
        <f>IFERROR(__xludf.DUMMYFUNCTION("""COMPUTED_VALUE"""),"1000058929")</f>
        <v>1000058929</v>
      </c>
      <c r="C48" s="18" t="str">
        <f>IFERROR(__xludf.DUMMYFUNCTION("""COMPUTED_VALUE"""),"Md. Mushfiqur Rahman Akhand")</f>
        <v>Md. Mushfiqur Rahman Akhand</v>
      </c>
      <c r="D48" s="15" t="str">
        <f>IFERROR(__xludf.DUMMYFUNCTION("""COMPUTED_VALUE"""),"BBA")</f>
        <v>BBA</v>
      </c>
      <c r="E48" s="15" t="str">
        <f>IFERROR(__xludf.DUMMYFUNCTION("""COMPUTED_VALUE"""),"mushfiqur.rahman.akhand@g.bracu.ac.bd")</f>
        <v>mushfiqur.rahman.akhand@g.bracu.ac.bd</v>
      </c>
      <c r="F48" s="33">
        <f>IFERROR(__xludf.DUMMYFUNCTION("""COMPUTED_VALUE"""),8.801739226357E12)</f>
        <v>8801739226357</v>
      </c>
      <c r="G48" s="22">
        <f>IFERROR(__xludf.DUMMYFUNCTION("""COMPUTED_VALUE"""),0.0)</f>
        <v>0</v>
      </c>
      <c r="H48" s="34">
        <f>IFERROR(__xludf.DUMMYFUNCTION("""COMPUTED_VALUE"""),1.0)</f>
        <v>1</v>
      </c>
      <c r="I48" s="35">
        <f>IFERROR(__xludf.DUMMYFUNCTION("""COMPUTED_VALUE"""),0.0)</f>
        <v>0</v>
      </c>
      <c r="J48" s="35"/>
      <c r="K48" s="35">
        <f>IFERROR(__xludf.DUMMYFUNCTION("""COMPUTED_VALUE"""),1.0)</f>
        <v>1</v>
      </c>
      <c r="L48" s="35">
        <f>IFERROR(__xludf.DUMMYFUNCTION("""COMPUTED_VALUE"""),5.0)</f>
        <v>5</v>
      </c>
      <c r="M48" s="35">
        <f>IFERROR(__xludf.DUMMYFUNCTION("""COMPUTED_VALUE"""),1.0)</f>
        <v>1</v>
      </c>
      <c r="N48" s="35">
        <f>IFERROR(__xludf.DUMMYFUNCTION("""COMPUTED_VALUE"""),4.0)</f>
        <v>4</v>
      </c>
      <c r="O48" s="35">
        <f>IFERROR(__xludf.DUMMYFUNCTION("""COMPUTED_VALUE"""),1.0)</f>
        <v>1</v>
      </c>
      <c r="P48" s="35"/>
      <c r="Q48" s="35">
        <f>IFERROR(__xludf.DUMMYFUNCTION("""COMPUTED_VALUE"""),1.0)</f>
        <v>1</v>
      </c>
      <c r="R48" s="35">
        <f>IFERROR(__xludf.DUMMYFUNCTION("""COMPUTED_VALUE"""),5.0)</f>
        <v>5</v>
      </c>
      <c r="S48" s="35">
        <f>IFERROR(__xludf.DUMMYFUNCTION("""COMPUTED_VALUE"""),1.0)</f>
        <v>1</v>
      </c>
      <c r="T48" s="35">
        <f>IFERROR(__xludf.DUMMYFUNCTION("""COMPUTED_VALUE"""),5.0)</f>
        <v>5</v>
      </c>
      <c r="U48" s="35">
        <f>IFERROR(__xludf.DUMMYFUNCTION("""COMPUTED_VALUE"""),1.0)</f>
        <v>1</v>
      </c>
      <c r="V48" s="35">
        <f>IFERROR(__xludf.DUMMYFUNCTION("""COMPUTED_VALUE"""),4.0)</f>
        <v>4</v>
      </c>
      <c r="W48" s="35">
        <f>IFERROR(__xludf.DUMMYFUNCTION("""COMPUTED_VALUE"""),1.0)</f>
        <v>1</v>
      </c>
      <c r="X48" s="35">
        <f>IFERROR(__xludf.DUMMYFUNCTION("""COMPUTED_VALUE"""),5.0)</f>
        <v>5</v>
      </c>
      <c r="Y48" s="35">
        <f>IFERROR(__xludf.DUMMYFUNCTION("""COMPUTED_VALUE"""),1.0)</f>
        <v>1</v>
      </c>
      <c r="Z48" s="35"/>
      <c r="AA48" s="35"/>
      <c r="AB48" s="35"/>
      <c r="AC48" s="35"/>
      <c r="AD48" s="35"/>
      <c r="AE48" s="35">
        <f>IFERROR(__xludf.DUMMYFUNCTION("""COMPUTED_VALUE"""),5.0)</f>
        <v>5</v>
      </c>
      <c r="AF48" s="35">
        <f>IFERROR(__xludf.DUMMYFUNCTION("""COMPUTED_VALUE"""),0.0)</f>
        <v>0</v>
      </c>
      <c r="AG48" s="35">
        <f>IFERROR(__xludf.DUMMYFUNCTION("""COMPUTED_VALUE"""),5.0)</f>
        <v>5</v>
      </c>
      <c r="AH48" s="35">
        <f>IFERROR(__xludf.DUMMYFUNCTION("""COMPUTED_VALUE"""),5.0)</f>
        <v>5</v>
      </c>
      <c r="AI48" s="35">
        <f>IFERROR(__xludf.DUMMYFUNCTION("""COMPUTED_VALUE"""),0.0)</f>
        <v>0</v>
      </c>
      <c r="AJ48" s="35">
        <f>IFERROR(__xludf.DUMMYFUNCTION("""COMPUTED_VALUE"""),0.0)</f>
        <v>0</v>
      </c>
      <c r="AK48" s="35">
        <f>IFERROR(__xludf.DUMMYFUNCTION("""COMPUTED_VALUE"""),0.0)</f>
        <v>0</v>
      </c>
      <c r="AL48" s="35">
        <f>IFERROR(__xludf.DUMMYFUNCTION("""COMPUTED_VALUE"""),5.0)</f>
        <v>5</v>
      </c>
      <c r="AM48" s="35"/>
      <c r="AN48" s="36">
        <f>IFERROR(__xludf.DUMMYFUNCTION("""COMPUTED_VALUE"""),1.0)</f>
        <v>1</v>
      </c>
      <c r="AO48" s="22">
        <f>IFERROR(__xludf.DUMMYFUNCTION("""COMPUTED_VALUE"""),3.0)</f>
        <v>3</v>
      </c>
      <c r="AP48" s="22">
        <f>IFERROR(__xludf.DUMMYFUNCTION("""COMPUTED_VALUE"""),9.333333333333334)</f>
        <v>9.333333333</v>
      </c>
      <c r="AQ48" s="37">
        <f>IFERROR(__xludf.DUMMYFUNCTION("""COMPUTED_VALUE"""),13.5)</f>
        <v>13.5</v>
      </c>
    </row>
    <row r="49">
      <c r="A49" s="18">
        <f>IFERROR(__xludf.DUMMYFUNCTION("""COMPUTED_VALUE"""),39.0)</f>
        <v>39</v>
      </c>
      <c r="B49" s="32" t="str">
        <f>IFERROR(__xludf.DUMMYFUNCTION("""COMPUTED_VALUE"""),"24121338")</f>
        <v>24121338</v>
      </c>
      <c r="C49" s="18" t="str">
        <f>IFERROR(__xludf.DUMMYFUNCTION("""COMPUTED_VALUE"""),"SAMIHA SHAMIM SAMU (Section 7)")</f>
        <v>SAMIHA SHAMIM SAMU (Section 7)</v>
      </c>
      <c r="D49" s="15"/>
      <c r="E49" s="15"/>
      <c r="F49" s="15"/>
      <c r="G49" s="22">
        <f>IFERROR(__xludf.DUMMYFUNCTION("""COMPUTED_VALUE"""),0.0)</f>
        <v>0</v>
      </c>
      <c r="H49" s="34">
        <f>IFERROR(__xludf.DUMMYFUNCTION("""COMPUTED_VALUE"""),1.0)</f>
        <v>1</v>
      </c>
      <c r="I49" s="35">
        <f>IFERROR(__xludf.DUMMYFUNCTION("""COMPUTED_VALUE"""),1.0)</f>
        <v>1</v>
      </c>
      <c r="J49" s="35"/>
      <c r="K49" s="35">
        <f>IFERROR(__xludf.DUMMYFUNCTION("""COMPUTED_VALUE"""),1.0)</f>
        <v>1</v>
      </c>
      <c r="L49" s="35">
        <f>IFERROR(__xludf.DUMMYFUNCTION("""COMPUTED_VALUE"""),5.0)</f>
        <v>5</v>
      </c>
      <c r="M49" s="35">
        <f>IFERROR(__xludf.DUMMYFUNCTION("""COMPUTED_VALUE"""),1.0)</f>
        <v>1</v>
      </c>
      <c r="N49" s="35">
        <f>IFERROR(__xludf.DUMMYFUNCTION("""COMPUTED_VALUE"""),10.0)</f>
        <v>10</v>
      </c>
      <c r="O49" s="35">
        <f>IFERROR(__xludf.DUMMYFUNCTION("""COMPUTED_VALUE"""),1.0)</f>
        <v>1</v>
      </c>
      <c r="P49" s="35"/>
      <c r="Q49" s="35">
        <f>IFERROR(__xludf.DUMMYFUNCTION("""COMPUTED_VALUE"""),1.0)</f>
        <v>1</v>
      </c>
      <c r="R49" s="35">
        <f>IFERROR(__xludf.DUMMYFUNCTION("""COMPUTED_VALUE"""),7.0)</f>
        <v>7</v>
      </c>
      <c r="S49" s="35">
        <f>IFERROR(__xludf.DUMMYFUNCTION("""COMPUTED_VALUE"""),1.0)</f>
        <v>1</v>
      </c>
      <c r="T49" s="35"/>
      <c r="U49" s="35">
        <f>IFERROR(__xludf.DUMMYFUNCTION("""COMPUTED_VALUE"""),1.0)</f>
        <v>1</v>
      </c>
      <c r="V49" s="35">
        <f>IFERROR(__xludf.DUMMYFUNCTION("""COMPUTED_VALUE"""),5.0)</f>
        <v>5</v>
      </c>
      <c r="W49" s="35">
        <f>IFERROR(__xludf.DUMMYFUNCTION("""COMPUTED_VALUE"""),1.0)</f>
        <v>1</v>
      </c>
      <c r="X49" s="35">
        <f>IFERROR(__xludf.DUMMYFUNCTION("""COMPUTED_VALUE"""),5.0)</f>
        <v>5</v>
      </c>
      <c r="Y49" s="35">
        <f>IFERROR(__xludf.DUMMYFUNCTION("""COMPUTED_VALUE"""),1.0)</f>
        <v>1</v>
      </c>
      <c r="Z49" s="35"/>
      <c r="AA49" s="35"/>
      <c r="AB49" s="35"/>
      <c r="AC49" s="35"/>
      <c r="AD49" s="35"/>
      <c r="AE49" s="35">
        <f>IFERROR(__xludf.DUMMYFUNCTION("""COMPUTED_VALUE"""),5.0)</f>
        <v>5</v>
      </c>
      <c r="AF49" s="35">
        <f>IFERROR(__xludf.DUMMYFUNCTION("""COMPUTED_VALUE"""),5.0)</f>
        <v>5</v>
      </c>
      <c r="AG49" s="35">
        <f>IFERROR(__xludf.DUMMYFUNCTION("""COMPUTED_VALUE"""),0.0)</f>
        <v>0</v>
      </c>
      <c r="AH49" s="35">
        <f>IFERROR(__xludf.DUMMYFUNCTION("""COMPUTED_VALUE"""),0.0)</f>
        <v>0</v>
      </c>
      <c r="AI49" s="35">
        <f>IFERROR(__xludf.DUMMYFUNCTION("""COMPUTED_VALUE"""),0.0)</f>
        <v>0</v>
      </c>
      <c r="AJ49" s="35">
        <f>IFERROR(__xludf.DUMMYFUNCTION("""COMPUTED_VALUE"""),0.0)</f>
        <v>0</v>
      </c>
      <c r="AK49" s="35">
        <f>IFERROR(__xludf.DUMMYFUNCTION("""COMPUTED_VALUE"""),0.0)</f>
        <v>0</v>
      </c>
      <c r="AL49" s="35">
        <f>IFERROR(__xludf.DUMMYFUNCTION("""COMPUTED_VALUE"""),0.0)</f>
        <v>0</v>
      </c>
      <c r="AM49" s="35"/>
      <c r="AN49" s="36">
        <f>IFERROR(__xludf.DUMMYFUNCTION("""COMPUTED_VALUE"""),0.5)</f>
        <v>0.5</v>
      </c>
      <c r="AO49" s="22">
        <f>IFERROR(__xludf.DUMMYFUNCTION("""COMPUTED_VALUE"""),1.5)</f>
        <v>1.5</v>
      </c>
      <c r="AP49" s="22">
        <f>IFERROR(__xludf.DUMMYFUNCTION("""COMPUTED_VALUE"""),14.666666666666666)</f>
        <v>14.66666667</v>
      </c>
      <c r="AQ49" s="37">
        <f>IFERROR(__xludf.DUMMYFUNCTION("""COMPUTED_VALUE"""),16.75)</f>
        <v>16.75</v>
      </c>
    </row>
    <row r="50">
      <c r="A50" s="18">
        <f>IFERROR(__xludf.DUMMYFUNCTION("""COMPUTED_VALUE"""),40.0)</f>
        <v>40</v>
      </c>
      <c r="B50" s="18"/>
      <c r="C50" s="18"/>
      <c r="D50" s="15"/>
      <c r="E50" s="15"/>
      <c r="F50" s="15"/>
      <c r="G50" s="22">
        <f>IFERROR(__xludf.DUMMYFUNCTION("""COMPUTED_VALUE"""),0.0)</f>
        <v>0</v>
      </c>
      <c r="H50" s="34">
        <f>IFERROR(__xludf.DUMMYFUNCTION("""COMPUTED_VALUE"""),1.0)</f>
        <v>1</v>
      </c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22">
        <f>IFERROR(__xludf.DUMMYFUNCTION("""COMPUTED_VALUE"""),0.0)</f>
        <v>0</v>
      </c>
      <c r="AO50" s="22">
        <f>IFERROR(__xludf.DUMMYFUNCTION("""COMPUTED_VALUE"""),0.0)</f>
        <v>0</v>
      </c>
      <c r="AP50" s="22">
        <f>IFERROR(__xludf.DUMMYFUNCTION("""COMPUTED_VALUE"""),0.0)</f>
        <v>0</v>
      </c>
      <c r="AQ50" s="37">
        <f>IFERROR(__xludf.DUMMYFUNCTION("""COMPUTED_VALUE"""),0.0)</f>
        <v>0</v>
      </c>
    </row>
  </sheetData>
  <mergeCells count="20">
    <mergeCell ref="O9:P9"/>
    <mergeCell ref="Q9:R9"/>
    <mergeCell ref="S9:T9"/>
    <mergeCell ref="U9:V9"/>
    <mergeCell ref="W9:X9"/>
    <mergeCell ref="Y9:Z9"/>
    <mergeCell ref="AA9:AB9"/>
    <mergeCell ref="AC9:AD9"/>
    <mergeCell ref="AE9:AM9"/>
    <mergeCell ref="AN9:AN10"/>
    <mergeCell ref="AO9:AO10"/>
    <mergeCell ref="AP9:AP10"/>
    <mergeCell ref="A8:AQ8"/>
    <mergeCell ref="A9:C9"/>
    <mergeCell ref="G9:G10"/>
    <mergeCell ref="H9:H10"/>
    <mergeCell ref="I9:J9"/>
    <mergeCell ref="K9:L9"/>
    <mergeCell ref="M9:N9"/>
    <mergeCell ref="AQ9:AQ10"/>
  </mergeCells>
  <conditionalFormatting sqref="G11:G50">
    <cfRule type="cellIs" dxfId="0" priority="1" operator="equal">
      <formula>1</formula>
    </cfRule>
  </conditionalFormatting>
  <conditionalFormatting sqref="G11:G50">
    <cfRule type="cellIs" dxfId="1" priority="2" operator="greaterThan">
      <formula>1</formula>
    </cfRule>
  </conditionalFormatting>
  <conditionalFormatting sqref="H11:H50">
    <cfRule type="cellIs" dxfId="0" priority="3" operator="equal">
      <formula>"90%"</formula>
    </cfRule>
  </conditionalFormatting>
  <conditionalFormatting sqref="H11:H50">
    <cfRule type="cellIs" dxfId="1" priority="4" operator="lessThan">
      <formula>"90%"</formula>
    </cfRule>
  </conditionalFormatting>
  <conditionalFormatting sqref="I11:I50 K11:K50 M11:M50 O11:O50 Q11:Q50 S11:S50 U11:U50 W11:W50 Y11:Y50 AA11:AA50 AC11:AC50">
    <cfRule type="cellIs" dxfId="2" priority="5" operator="equal">
      <formula>1</formula>
    </cfRule>
  </conditionalFormatting>
  <conditionalFormatting sqref="I11:I50 K11:K50 M11:M50 O11:O50 Q11:Q50 S11:S50 U11:U50 W11:W50 Y11:Y50 AA11:AA50 AC11:AC50">
    <cfRule type="cellIs" dxfId="3" priority="6" operator="equal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21.5"/>
    <col customWidth="1" min="4" max="4" width="28.5"/>
    <col customWidth="1" min="6" max="6" width="10.25"/>
    <col customWidth="1" min="7" max="7" width="25.38"/>
    <col customWidth="1" min="8" max="8" width="27.38"/>
  </cols>
  <sheetData>
    <row r="2">
      <c r="B2" s="56" t="s">
        <v>975</v>
      </c>
      <c r="F2" s="57" t="s">
        <v>976</v>
      </c>
    </row>
    <row r="3">
      <c r="B3" s="58" t="str">
        <f>IFERROR(__xludf.DUMMYFUNCTION("IFNA(QUERY(MARKS!B11:G50,""SELECT B,C,E WHERE G &gt; 1""), ""No Stundents Barred Due to Attendance"")"),"1000056973")</f>
        <v>1000056973</v>
      </c>
      <c r="C3" s="15" t="str">
        <f>IFERROR(__xludf.DUMMYFUNCTION("""COMPUTED_VALUE"""),"TAHMID AHMED")</f>
        <v>TAHMID AHMED</v>
      </c>
      <c r="D3" s="15" t="str">
        <f>IFERROR(__xludf.DUMMYFUNCTION("""COMPUTED_VALUE"""),"tahmina043403@gmail.com")</f>
        <v>tahmina043403@gmail.com</v>
      </c>
      <c r="F3" s="15" t="str">
        <f>IFERROR(__xludf.DUMMYFUNCTION("IFNA(QUERY(MARKS!B11:G50,""SELECT B,C,E WHERE G = 1""), ""No Warning"")"),"23115004")</f>
        <v>23115004</v>
      </c>
      <c r="G3" s="15" t="str">
        <f>IFERROR(__xludf.DUMMYFUNCTION("""COMPUTED_VALUE"""),"MST.SADIA AFRIN")</f>
        <v>MST.SADIA AFRIN</v>
      </c>
      <c r="H3" s="15" t="str">
        <f>IFERROR(__xludf.DUMMYFUNCTION("""COMPUTED_VALUE"""),"mst.sadia.afrin@g.bracu.ac.bd")</f>
        <v>mst.sadia.afrin@g.bracu.ac.bd</v>
      </c>
    </row>
    <row r="4">
      <c r="B4" s="15" t="str">
        <f>IFERROR(__xludf.DUMMYFUNCTION("""COMPUTED_VALUE"""),"1000058119")</f>
        <v>1000058119</v>
      </c>
      <c r="C4" s="15" t="str">
        <f>IFERROR(__xludf.DUMMYFUNCTION("""COMPUTED_VALUE"""),"Ishrak Hasin Akan")</f>
        <v>Ishrak Hasin Akan</v>
      </c>
      <c r="D4" s="15" t="str">
        <f>IFERROR(__xludf.DUMMYFUNCTION("""COMPUTED_VALUE"""),"ishrak148@gmail.com")</f>
        <v>ishrak148@gmail.com</v>
      </c>
      <c r="F4" s="15" t="str">
        <f>IFERROR(__xludf.DUMMYFUNCTION("""COMPUTED_VALUE"""),"24121352")</f>
        <v>24121352</v>
      </c>
      <c r="G4" s="15" t="str">
        <f>IFERROR(__xludf.DUMMYFUNCTION("""COMPUTED_VALUE"""),"MOHAMMAD ABU BAKAR SAMSUDDIN")</f>
        <v>MOHAMMAD ABU BAKAR SAMSUDDIN</v>
      </c>
      <c r="H4" s="15" t="str">
        <f>IFERROR(__xludf.DUMMYFUNCTION("""COMPUTED_VALUE"""),"abu.bakar.samsuddin@g.bracu.ac.bd")</f>
        <v>abu.bakar.samsuddin@g.bracu.ac.bd</v>
      </c>
    </row>
    <row r="5">
      <c r="F5" s="15" t="str">
        <f>IFERROR(__xludf.DUMMYFUNCTION("""COMPUTED_VALUE"""),"1000054904")</f>
        <v>1000054904</v>
      </c>
      <c r="G5" s="15" t="str">
        <f>IFERROR(__xludf.DUMMYFUNCTION("""COMPUTED_VALUE"""),"Ahsanul Hossain Ratin")</f>
        <v>Ahsanul Hossain Ratin</v>
      </c>
      <c r="H5" s="15" t="str">
        <f>IFERROR(__xludf.DUMMYFUNCTION("""COMPUTED_VALUE"""),"ahsanulhossainratin@gmail.com")</f>
        <v>ahsanulhossainratin@gmail.com</v>
      </c>
    </row>
    <row r="6">
      <c r="F6" s="15" t="str">
        <f>IFERROR(__xludf.DUMMYFUNCTION("""COMPUTED_VALUE"""),"1000055413")</f>
        <v>1000055413</v>
      </c>
      <c r="G6" s="15" t="str">
        <f>IFERROR(__xludf.DUMMYFUNCTION("""COMPUTED_VALUE"""),"Sheikh Md. Tamim Tahsin Hoque")</f>
        <v>Sheikh Md. Tamim Tahsin Hoque</v>
      </c>
      <c r="H6" s="15" t="str">
        <f>IFERROR(__xludf.DUMMYFUNCTION("""COMPUTED_VALUE"""),"tamim.tahsin.hoque@g.bracu.ac.bd")</f>
        <v>tamim.tahsin.hoque@g.bracu.ac.bd</v>
      </c>
    </row>
    <row r="7">
      <c r="B7" s="59">
        <v>2.4121352E7</v>
      </c>
      <c r="C7" s="59" t="s">
        <v>977</v>
      </c>
      <c r="D7" s="59" t="s">
        <v>978</v>
      </c>
      <c r="F7" s="15" t="str">
        <f>IFERROR(__xludf.DUMMYFUNCTION("""COMPUTED_VALUE"""),"1000056651")</f>
        <v>1000056651</v>
      </c>
      <c r="G7" s="15" t="str">
        <f>IFERROR(__xludf.DUMMYFUNCTION("""COMPUTED_VALUE"""),"SYED NAFIAN KHALEED")</f>
        <v>SYED NAFIAN KHALEED</v>
      </c>
      <c r="H7" s="15" t="str">
        <f>IFERROR(__xludf.DUMMYFUNCTION("""COMPUTED_VALUE"""),"nafiankhalid@gmail.com")</f>
        <v>nafiankhalid@gmail.com</v>
      </c>
    </row>
    <row r="8">
      <c r="F8" s="15" t="str">
        <f>IFERROR(__xludf.DUMMYFUNCTION("""COMPUTED_VALUE"""),"1000056677")</f>
        <v>1000056677</v>
      </c>
      <c r="G8" s="15" t="str">
        <f>IFERROR(__xludf.DUMMYFUNCTION("""COMPUTED_VALUE"""),"EZHAAN ABDULLAH ALI")</f>
        <v>EZHAAN ABDULLAH ALI</v>
      </c>
      <c r="H8" s="15" t="str">
        <f>IFERROR(__xludf.DUMMYFUNCTION("""COMPUTED_VALUE"""),"mahboob3030@gmail.com")</f>
        <v>mahboob3030@gmail.com</v>
      </c>
    </row>
    <row r="9">
      <c r="F9" s="15" t="str">
        <f>IFERROR(__xludf.DUMMYFUNCTION("""COMPUTED_VALUE"""),"1000056736")</f>
        <v>1000056736</v>
      </c>
      <c r="G9" s="15" t="str">
        <f>IFERROR(__xludf.DUMMYFUNCTION("""COMPUTED_VALUE"""),"MD SAZEDUL ISLAM SHANTO")</f>
        <v>MD SAZEDUL ISLAM SHANTO</v>
      </c>
      <c r="H9" s="15" t="str">
        <f>IFERROR(__xludf.DUMMYFUNCTION("""COMPUTED_VALUE"""),"shantoislam1015@gmail.com")</f>
        <v>shantoislam1015@gmail.com</v>
      </c>
    </row>
    <row r="10">
      <c r="F10" s="15" t="str">
        <f>IFERROR(__xludf.DUMMYFUNCTION("""COMPUTED_VALUE"""),"1000057015")</f>
        <v>1000057015</v>
      </c>
      <c r="G10" s="15" t="str">
        <f>IFERROR(__xludf.DUMMYFUNCTION("""COMPUTED_VALUE"""),"Priyabrata Saha")</f>
        <v>Priyabrata Saha</v>
      </c>
      <c r="H10" s="15" t="str">
        <f>IFERROR(__xludf.DUMMYFUNCTION("""COMPUTED_VALUE"""),"priyabrata.saha@g.bracu.ac.bd")</f>
        <v>priyabrata.saha@g.bracu.ac.bd</v>
      </c>
    </row>
    <row r="11">
      <c r="F11" s="15" t="str">
        <f>IFERROR(__xludf.DUMMYFUNCTION("""COMPUTED_VALUE"""),"1000057799")</f>
        <v>1000057799</v>
      </c>
      <c r="G11" s="15" t="str">
        <f>IFERROR(__xludf.DUMMYFUNCTION("""COMPUTED_VALUE"""),"Md Raisul Islam")</f>
        <v>Md Raisul Islam</v>
      </c>
      <c r="H11" s="15" t="str">
        <f>IFERROR(__xludf.DUMMYFUNCTION("""COMPUTED_VALUE"""),"md.raisul.islam4@g.bracu.ac.bd")</f>
        <v>md.raisul.islam4@g.bracu.ac.bd</v>
      </c>
    </row>
    <row r="12">
      <c r="F12" s="15" t="str">
        <f>IFERROR(__xludf.DUMMYFUNCTION("""COMPUTED_VALUE"""),"1000058036")</f>
        <v>1000058036</v>
      </c>
      <c r="G12" s="15" t="str">
        <f>IFERROR(__xludf.DUMMYFUNCTION("""COMPUTED_VALUE"""),"Md Farhan Uddin Molla")</f>
        <v>Md Farhan Uddin Molla</v>
      </c>
      <c r="H12" s="15" t="str">
        <f>IFERROR(__xludf.DUMMYFUNCTION("""COMPUTED_VALUE"""),"farhan.uddin.molla@g.bracu.ac.bd")</f>
        <v>farhan.uddin.molla@g.bracu.ac.bd</v>
      </c>
    </row>
  </sheetData>
  <mergeCells count="2">
    <mergeCell ref="B2:D2"/>
    <mergeCell ref="F2:H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0" t="s">
        <v>979</v>
      </c>
      <c r="B1" s="15" t="str">
        <f t="shared" ref="B1:B39" si="1">VLOOKUP(A1,C:C,1,FALSE)</f>
        <v>23115004</v>
      </c>
      <c r="C1" s="61" t="s">
        <v>979</v>
      </c>
      <c r="D1" s="15">
        <f t="shared" ref="D1:D39" si="2">if(B1&gt;1,5,0)</f>
        <v>5</v>
      </c>
    </row>
    <row r="2">
      <c r="A2" s="60" t="s">
        <v>980</v>
      </c>
      <c r="B2" s="15" t="str">
        <f t="shared" si="1"/>
        <v>#N/A</v>
      </c>
      <c r="C2" s="61" t="s">
        <v>981</v>
      </c>
      <c r="D2" s="15" t="str">
        <f t="shared" si="2"/>
        <v>#N/A</v>
      </c>
    </row>
    <row r="3">
      <c r="A3" s="60" t="s">
        <v>982</v>
      </c>
      <c r="B3" s="15" t="str">
        <f t="shared" si="1"/>
        <v>24301371</v>
      </c>
      <c r="C3" s="61" t="s">
        <v>983</v>
      </c>
      <c r="D3" s="15">
        <f t="shared" si="2"/>
        <v>5</v>
      </c>
    </row>
    <row r="4">
      <c r="A4" s="60" t="s">
        <v>981</v>
      </c>
      <c r="B4" s="15" t="str">
        <f t="shared" si="1"/>
        <v>23201453</v>
      </c>
      <c r="C4" s="61" t="s">
        <v>982</v>
      </c>
      <c r="D4" s="15">
        <f t="shared" si="2"/>
        <v>5</v>
      </c>
    </row>
    <row r="5">
      <c r="A5" s="60" t="s">
        <v>983</v>
      </c>
      <c r="B5" s="15" t="str">
        <f t="shared" si="1"/>
        <v>24101054</v>
      </c>
      <c r="C5" s="61" t="s">
        <v>984</v>
      </c>
      <c r="D5" s="15">
        <f t="shared" si="2"/>
        <v>5</v>
      </c>
    </row>
    <row r="6">
      <c r="A6" s="60" t="s">
        <v>985</v>
      </c>
      <c r="B6" s="15" t="str">
        <f t="shared" si="1"/>
        <v>#N/A</v>
      </c>
      <c r="C6" s="61" t="s">
        <v>986</v>
      </c>
      <c r="D6" s="15" t="str">
        <f t="shared" si="2"/>
        <v>#N/A</v>
      </c>
    </row>
    <row r="7">
      <c r="A7" s="60" t="s">
        <v>984</v>
      </c>
      <c r="B7" s="15" t="str">
        <f t="shared" si="1"/>
        <v>24304178</v>
      </c>
      <c r="C7" s="61" t="s">
        <v>987</v>
      </c>
      <c r="D7" s="15">
        <f t="shared" si="2"/>
        <v>5</v>
      </c>
    </row>
    <row r="8">
      <c r="A8" s="60" t="s">
        <v>987</v>
      </c>
      <c r="B8" s="15" t="str">
        <f t="shared" si="1"/>
        <v>1000054182</v>
      </c>
      <c r="C8" s="61" t="s">
        <v>988</v>
      </c>
      <c r="D8" s="15">
        <f t="shared" si="2"/>
        <v>5</v>
      </c>
    </row>
    <row r="9">
      <c r="A9" s="60" t="s">
        <v>988</v>
      </c>
      <c r="B9" s="15" t="str">
        <f t="shared" si="1"/>
        <v>1000054904</v>
      </c>
      <c r="C9" s="61" t="s">
        <v>989</v>
      </c>
      <c r="D9" s="15">
        <f t="shared" si="2"/>
        <v>5</v>
      </c>
    </row>
    <row r="10">
      <c r="A10" s="60" t="s">
        <v>986</v>
      </c>
      <c r="B10" s="15" t="str">
        <f t="shared" si="1"/>
        <v>25121016</v>
      </c>
      <c r="C10" s="61" t="s">
        <v>990</v>
      </c>
      <c r="D10" s="15">
        <f t="shared" si="2"/>
        <v>5</v>
      </c>
    </row>
    <row r="11">
      <c r="A11" s="60" t="s">
        <v>989</v>
      </c>
      <c r="B11" s="15" t="str">
        <f t="shared" si="1"/>
        <v>1000055387</v>
      </c>
      <c r="C11" s="61" t="s">
        <v>991</v>
      </c>
      <c r="D11" s="15">
        <f t="shared" si="2"/>
        <v>5</v>
      </c>
    </row>
    <row r="12">
      <c r="A12" s="60" t="s">
        <v>992</v>
      </c>
      <c r="B12" s="15" t="str">
        <f t="shared" si="1"/>
        <v>#N/A</v>
      </c>
      <c r="C12" s="61" t="s">
        <v>993</v>
      </c>
      <c r="D12" s="15" t="str">
        <f t="shared" si="2"/>
        <v>#N/A</v>
      </c>
    </row>
    <row r="13">
      <c r="A13" s="60" t="s">
        <v>990</v>
      </c>
      <c r="B13" s="15" t="str">
        <f t="shared" si="1"/>
        <v>1000055669</v>
      </c>
      <c r="C13" s="61" t="s">
        <v>994</v>
      </c>
      <c r="D13" s="15">
        <f t="shared" si="2"/>
        <v>5</v>
      </c>
    </row>
    <row r="14">
      <c r="A14" s="60" t="s">
        <v>991</v>
      </c>
      <c r="B14" s="15" t="str">
        <f t="shared" si="1"/>
        <v>1000056472</v>
      </c>
      <c r="C14" s="61" t="s">
        <v>995</v>
      </c>
      <c r="D14" s="15">
        <f t="shared" si="2"/>
        <v>5</v>
      </c>
    </row>
    <row r="15">
      <c r="A15" s="60" t="s">
        <v>993</v>
      </c>
      <c r="B15" s="15" t="str">
        <f t="shared" si="1"/>
        <v>1000056546</v>
      </c>
      <c r="C15" s="61" t="s">
        <v>996</v>
      </c>
      <c r="D15" s="15">
        <f t="shared" si="2"/>
        <v>5</v>
      </c>
    </row>
    <row r="16">
      <c r="A16" s="60" t="s">
        <v>994</v>
      </c>
      <c r="B16" s="15" t="str">
        <f t="shared" si="1"/>
        <v>1000056651</v>
      </c>
      <c r="C16" s="61" t="s">
        <v>997</v>
      </c>
      <c r="D16" s="15">
        <f t="shared" si="2"/>
        <v>5</v>
      </c>
    </row>
    <row r="17">
      <c r="A17" s="60" t="s">
        <v>998</v>
      </c>
      <c r="B17" s="15" t="str">
        <f t="shared" si="1"/>
        <v>#N/A</v>
      </c>
      <c r="C17" s="61" t="s">
        <v>999</v>
      </c>
      <c r="D17" s="15" t="str">
        <f t="shared" si="2"/>
        <v>#N/A</v>
      </c>
    </row>
    <row r="18">
      <c r="A18" s="60" t="s">
        <v>1000</v>
      </c>
      <c r="B18" s="15" t="str">
        <f t="shared" si="1"/>
        <v>#N/A</v>
      </c>
      <c r="C18" s="61" t="s">
        <v>1001</v>
      </c>
      <c r="D18" s="15" t="str">
        <f t="shared" si="2"/>
        <v>#N/A</v>
      </c>
    </row>
    <row r="19">
      <c r="A19" s="60" t="s">
        <v>1002</v>
      </c>
      <c r="B19" s="15" t="str">
        <f t="shared" si="1"/>
        <v>#N/A</v>
      </c>
      <c r="C19" s="61" t="s">
        <v>1003</v>
      </c>
      <c r="D19" s="15" t="str">
        <f t="shared" si="2"/>
        <v>#N/A</v>
      </c>
    </row>
    <row r="20">
      <c r="A20" s="60" t="s">
        <v>995</v>
      </c>
      <c r="B20" s="15" t="str">
        <f t="shared" si="1"/>
        <v>1000057015</v>
      </c>
      <c r="C20" s="61" t="s">
        <v>1004</v>
      </c>
      <c r="D20" s="15">
        <f t="shared" si="2"/>
        <v>5</v>
      </c>
    </row>
    <row r="21">
      <c r="A21" s="60" t="s">
        <v>996</v>
      </c>
      <c r="B21" s="15" t="str">
        <f t="shared" si="1"/>
        <v>1000057055</v>
      </c>
      <c r="C21" s="61" t="s">
        <v>1005</v>
      </c>
      <c r="D21" s="15">
        <f t="shared" si="2"/>
        <v>5</v>
      </c>
    </row>
    <row r="22">
      <c r="A22" s="60" t="s">
        <v>1006</v>
      </c>
      <c r="B22" s="15" t="str">
        <f t="shared" si="1"/>
        <v>#N/A</v>
      </c>
      <c r="C22" s="61" t="s">
        <v>1007</v>
      </c>
      <c r="D22" s="15" t="str">
        <f t="shared" si="2"/>
        <v>#N/A</v>
      </c>
    </row>
    <row r="23">
      <c r="A23" s="60" t="s">
        <v>997</v>
      </c>
      <c r="B23" s="15" t="str">
        <f t="shared" si="1"/>
        <v>1000057549</v>
      </c>
      <c r="C23" s="61" t="s">
        <v>1008</v>
      </c>
      <c r="D23" s="15">
        <f t="shared" si="2"/>
        <v>5</v>
      </c>
    </row>
    <row r="24">
      <c r="A24" s="60" t="s">
        <v>999</v>
      </c>
      <c r="B24" s="15" t="str">
        <f t="shared" si="1"/>
        <v>1000057630</v>
      </c>
      <c r="C24" s="61" t="s">
        <v>1009</v>
      </c>
      <c r="D24" s="15">
        <f t="shared" si="2"/>
        <v>5</v>
      </c>
    </row>
    <row r="25">
      <c r="A25" s="60" t="s">
        <v>1001</v>
      </c>
      <c r="B25" s="15" t="str">
        <f t="shared" si="1"/>
        <v>1000057685</v>
      </c>
      <c r="C25" s="61" t="s">
        <v>1010</v>
      </c>
      <c r="D25" s="15">
        <f t="shared" si="2"/>
        <v>5</v>
      </c>
    </row>
    <row r="26">
      <c r="A26" s="60" t="s">
        <v>1003</v>
      </c>
      <c r="B26" s="15" t="str">
        <f t="shared" si="1"/>
        <v>1000057799</v>
      </c>
      <c r="C26" s="61" t="s">
        <v>1011</v>
      </c>
      <c r="D26" s="15">
        <f t="shared" si="2"/>
        <v>5</v>
      </c>
    </row>
    <row r="27">
      <c r="A27" s="60" t="s">
        <v>1004</v>
      </c>
      <c r="B27" s="15" t="str">
        <f t="shared" si="1"/>
        <v>1000057800</v>
      </c>
      <c r="C27" s="61" t="s">
        <v>1012</v>
      </c>
      <c r="D27" s="15">
        <f t="shared" si="2"/>
        <v>5</v>
      </c>
    </row>
    <row r="28">
      <c r="A28" s="60" t="s">
        <v>1005</v>
      </c>
      <c r="B28" s="15" t="str">
        <f t="shared" si="1"/>
        <v>1000057808</v>
      </c>
      <c r="C28" s="61" t="s">
        <v>1013</v>
      </c>
      <c r="D28" s="15">
        <f t="shared" si="2"/>
        <v>5</v>
      </c>
    </row>
    <row r="29">
      <c r="A29" s="60" t="s">
        <v>1007</v>
      </c>
      <c r="B29" s="15" t="str">
        <f t="shared" si="1"/>
        <v>1000057832</v>
      </c>
      <c r="C29" s="61" t="s">
        <v>1014</v>
      </c>
      <c r="D29" s="15">
        <f t="shared" si="2"/>
        <v>5</v>
      </c>
    </row>
    <row r="30">
      <c r="A30" s="60" t="s">
        <v>1008</v>
      </c>
      <c r="B30" s="15" t="str">
        <f t="shared" si="1"/>
        <v>1000058012</v>
      </c>
      <c r="C30" s="61"/>
      <c r="D30" s="15">
        <f t="shared" si="2"/>
        <v>5</v>
      </c>
    </row>
    <row r="31">
      <c r="A31" s="60" t="s">
        <v>1015</v>
      </c>
      <c r="B31" s="15" t="str">
        <f t="shared" si="1"/>
        <v>#N/A</v>
      </c>
      <c r="C31" s="61"/>
      <c r="D31" s="15" t="str">
        <f t="shared" si="2"/>
        <v>#N/A</v>
      </c>
    </row>
    <row r="32">
      <c r="A32" s="60" t="s">
        <v>1016</v>
      </c>
      <c r="B32" s="15" t="str">
        <f t="shared" si="1"/>
        <v>#N/A</v>
      </c>
      <c r="C32" s="61"/>
      <c r="D32" s="15" t="str">
        <f t="shared" si="2"/>
        <v>#N/A</v>
      </c>
    </row>
    <row r="33">
      <c r="A33" s="60" t="s">
        <v>1009</v>
      </c>
      <c r="B33" s="15" t="str">
        <f t="shared" si="1"/>
        <v>1000058127</v>
      </c>
      <c r="C33" s="61"/>
      <c r="D33" s="15">
        <f t="shared" si="2"/>
        <v>5</v>
      </c>
    </row>
    <row r="34">
      <c r="A34" s="60" t="s">
        <v>1010</v>
      </c>
      <c r="B34" s="15" t="str">
        <f t="shared" si="1"/>
        <v>1000058230</v>
      </c>
      <c r="D34" s="15">
        <f t="shared" si="2"/>
        <v>5</v>
      </c>
    </row>
    <row r="35">
      <c r="A35" s="60" t="s">
        <v>1011</v>
      </c>
      <c r="B35" s="15" t="str">
        <f t="shared" si="1"/>
        <v>1000058314</v>
      </c>
      <c r="D35" s="15">
        <f t="shared" si="2"/>
        <v>5</v>
      </c>
    </row>
    <row r="36">
      <c r="A36" s="60" t="s">
        <v>1012</v>
      </c>
      <c r="B36" s="15" t="str">
        <f t="shared" si="1"/>
        <v>1000058877</v>
      </c>
      <c r="D36" s="15">
        <f t="shared" si="2"/>
        <v>5</v>
      </c>
    </row>
    <row r="37">
      <c r="A37" s="60" t="s">
        <v>1013</v>
      </c>
      <c r="B37" s="15" t="str">
        <f t="shared" si="1"/>
        <v>1000058927</v>
      </c>
      <c r="D37" s="15">
        <f t="shared" si="2"/>
        <v>5</v>
      </c>
    </row>
    <row r="38">
      <c r="A38" s="60" t="s">
        <v>1014</v>
      </c>
      <c r="B38" s="15" t="str">
        <f t="shared" si="1"/>
        <v>1000058929</v>
      </c>
      <c r="D38" s="15">
        <f t="shared" si="2"/>
        <v>5</v>
      </c>
    </row>
    <row r="39">
      <c r="A39" s="60" t="s">
        <v>1017</v>
      </c>
      <c r="B39" s="15" t="str">
        <f t="shared" si="1"/>
        <v>#N/A</v>
      </c>
      <c r="D39" s="15" t="str">
        <f t="shared" si="2"/>
        <v>#N/A</v>
      </c>
    </row>
  </sheetData>
  <drawing r:id="rId1"/>
</worksheet>
</file>