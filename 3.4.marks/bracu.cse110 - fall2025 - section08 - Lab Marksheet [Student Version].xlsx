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8" sheetId="1" r:id="rId5"/>
    <sheet state="visible" name="OBE" sheetId="2" r:id="rId6"/>
    <sheet state="visible" name="Assignment Marks" sheetId="3" r:id="rId7"/>
  </sheets>
  <definedNames/>
  <calcPr/>
</workbook>
</file>

<file path=xl/sharedStrings.xml><?xml version="1.0" encoding="utf-8"?>
<sst xmlns="http://schemas.openxmlformats.org/spreadsheetml/2006/main" count="572" uniqueCount="306">
  <si>
    <t>STUDENT DAILY ATTENDANCE SHEET
Semester: Fall 2025
Course Title: Programming Language I
Course ID: CSE110 - Section 08
Theory Instructor: MSI
Lab Instructors: KNI, CNKY</t>
  </si>
  <si>
    <t xml:space="preserve">Absent Count </t>
  </si>
  <si>
    <t>Attendance Percentage</t>
  </si>
  <si>
    <t>Lab 1
(22/10/25)</t>
  </si>
  <si>
    <t>Lab 2
(29/10/25)</t>
  </si>
  <si>
    <t>Lab 3
(05/11/25)</t>
  </si>
  <si>
    <t>Lab 4
(12/11/25)</t>
  </si>
  <si>
    <t>Lab 5
(19/11/25)</t>
  </si>
  <si>
    <t>Lab 6
(10/12/25)</t>
  </si>
  <si>
    <t>Lab 7
(17/12/25)</t>
  </si>
  <si>
    <t>Lab 8
(24/12/25)</t>
  </si>
  <si>
    <t>Lab 9
(01/7/26)</t>
  </si>
  <si>
    <t>Lab Assignments</t>
  </si>
  <si>
    <t>Lab Assignments (Out of 2)</t>
  </si>
  <si>
    <t>Lab Evaluations (Out of 3)</t>
  </si>
  <si>
    <t>Lab Exam
(Out of 20)</t>
  </si>
  <si>
    <t>Total Marks
(Out of 25)</t>
  </si>
  <si>
    <t>SL</t>
  </si>
  <si>
    <t>ID</t>
  </si>
  <si>
    <t>Name</t>
  </si>
  <si>
    <t>Program</t>
  </si>
  <si>
    <t>Email</t>
  </si>
  <si>
    <t>Phone</t>
  </si>
  <si>
    <t>Attd.</t>
  </si>
  <si>
    <t>Evaluation (5)</t>
  </si>
  <si>
    <t>Exam (10)</t>
  </si>
  <si>
    <t>Lab 1 (5)</t>
  </si>
  <si>
    <t>Lab 2 (5)</t>
  </si>
  <si>
    <t>Lab 3 (5)</t>
  </si>
  <si>
    <t>Lab 4 (5)</t>
  </si>
  <si>
    <t>Lab 5 (5)</t>
  </si>
  <si>
    <t>Lab 6 (5)</t>
  </si>
  <si>
    <t>Lab 7 (5)</t>
  </si>
  <si>
    <t>Lab 8 (5)</t>
  </si>
  <si>
    <t>24101028</t>
  </si>
  <si>
    <t>RIDWANUR RAHMAN SAAD</t>
  </si>
  <si>
    <t>CSE</t>
  </si>
  <si>
    <t>ridwanur.rahman.saad@g.bracu.ac.bd</t>
  </si>
  <si>
    <t>01312863929</t>
  </si>
  <si>
    <t>24121015</t>
  </si>
  <si>
    <t>SABBIR HOSSAIN ROYAL</t>
  </si>
  <si>
    <t>EEE</t>
  </si>
  <si>
    <t>sabbir.hossain.royal@g.bracu.ac.bd</t>
  </si>
  <si>
    <t>01859272667</t>
  </si>
  <si>
    <t>24121153</t>
  </si>
  <si>
    <t>MD. ABDUS SALAM NAFISH</t>
  </si>
  <si>
    <t>abdus.salam.nafish@g.bracu.ac.bd</t>
  </si>
  <si>
    <t>01706362125</t>
  </si>
  <si>
    <t>24121189</t>
  </si>
  <si>
    <t>JARIN TASNEEM</t>
  </si>
  <si>
    <t>jarin.tasneem@g.bracu.ac.bd</t>
  </si>
  <si>
    <t>01909735433</t>
  </si>
  <si>
    <t>24121344</t>
  </si>
  <si>
    <t>CHOWDHURY SORWAR MAHIB</t>
  </si>
  <si>
    <t>chowdhury.sorwar.mahib@g.bracu.ac.bd</t>
  </si>
  <si>
    <t>01779727667</t>
  </si>
  <si>
    <t>24317011</t>
  </si>
  <si>
    <t>NASRA TASNIM</t>
  </si>
  <si>
    <t>ANT</t>
  </si>
  <si>
    <t>nasra.tasnim@g.bracu.ac.bd</t>
  </si>
  <si>
    <t>01537100754</t>
  </si>
  <si>
    <t>24304315</t>
  </si>
  <si>
    <t>OBAED ULLAH RIZVI</t>
  </si>
  <si>
    <t>BBA</t>
  </si>
  <si>
    <t>obaed.ullah.rizvi@g.bracu.ac.bd</t>
  </si>
  <si>
    <t>01700860581</t>
  </si>
  <si>
    <t>24321249</t>
  </si>
  <si>
    <t>SHAH SALMAN ROZIN ASHRAFI</t>
  </si>
  <si>
    <t>salman.rozin.ashrafi@g.bracu.ac.bd</t>
  </si>
  <si>
    <t>01855554517</t>
  </si>
  <si>
    <t>24201035</t>
  </si>
  <si>
    <t>RAFSAN JAME AHEEN</t>
  </si>
  <si>
    <t>rafsan.jame.aheen@g.bracu.ac.bd</t>
  </si>
  <si>
    <t>01316343666</t>
  </si>
  <si>
    <t>24201021</t>
  </si>
  <si>
    <t>SHIKAR BHATTACHARJEE DRIK</t>
  </si>
  <si>
    <t>shikar.bhattacharjee.drik@g.bracu.ac.bd</t>
  </si>
  <si>
    <t>01793304727</t>
  </si>
  <si>
    <t>23321027</t>
  </si>
  <si>
    <t>JUNAED HASAN</t>
  </si>
  <si>
    <t>junaed.hasan@g.bracu.ac.bd</t>
  </si>
  <si>
    <t>01632344239</t>
  </si>
  <si>
    <t>24105022</t>
  </si>
  <si>
    <t>BARIRA WIZDAN</t>
  </si>
  <si>
    <t>ECO</t>
  </si>
  <si>
    <t>barira.wizdan@g.bracu.ac.bd</t>
  </si>
  <si>
    <t>01407118587</t>
  </si>
  <si>
    <t>24121160</t>
  </si>
  <si>
    <t>AFNANUR RAHMAN</t>
  </si>
  <si>
    <t>afnanur.rahman@g.bracu.ac.bd</t>
  </si>
  <si>
    <t>01690182701</t>
  </si>
  <si>
    <t>24305029</t>
  </si>
  <si>
    <t>NASHID BINTE TAUFIQ</t>
  </si>
  <si>
    <t>nashid.binte.taufiq@g.bracu.ac.bd</t>
  </si>
  <si>
    <t>01728219403</t>
  </si>
  <si>
    <t>24210006</t>
  </si>
  <si>
    <t>SHADMAN SAKIB ABIR</t>
  </si>
  <si>
    <t>ECE</t>
  </si>
  <si>
    <t>shadman.sakib.abir@g.bracu.ac.bd</t>
  </si>
  <si>
    <t>01716154400</t>
  </si>
  <si>
    <t>24221176</t>
  </si>
  <si>
    <t>MD.FATIN AHAMED</t>
  </si>
  <si>
    <t>md.fatin.ahamed@g.bracu.ac.bd</t>
  </si>
  <si>
    <t>01985460723</t>
  </si>
  <si>
    <t>1000054936</t>
  </si>
  <si>
    <t>Fabliha Mahmud</t>
  </si>
  <si>
    <t>CS</t>
  </si>
  <si>
    <t>mahmudfabliha@gmail.com</t>
  </si>
  <si>
    <t>1000055067</t>
  </si>
  <si>
    <t>Sanjida Rahman</t>
  </si>
  <si>
    <t>sanjida.rahman6@g.bracu.ac.bd</t>
  </si>
  <si>
    <t>25121013</t>
  </si>
  <si>
    <t>REJAHEEL MOWLA RAIMA</t>
  </si>
  <si>
    <t>rejaheel.m.raima@gmail.com</t>
  </si>
  <si>
    <t>01910800275</t>
  </si>
  <si>
    <t>1000055371</t>
  </si>
  <si>
    <t>Anika Nawar Anannya</t>
  </si>
  <si>
    <t>anika.nawar.anannya@g.bracu.ac.bd</t>
  </si>
  <si>
    <t>1000055657</t>
  </si>
  <si>
    <t>Addarus Samin</t>
  </si>
  <si>
    <t>adsamin02@gmail.com</t>
  </si>
  <si>
    <t>1000055772</t>
  </si>
  <si>
    <t>Sadnan Alam Rakin</t>
  </si>
  <si>
    <t>swegkruze0009@gmail.com</t>
  </si>
  <si>
    <t>1000056812</t>
  </si>
  <si>
    <t>Md. Arib Mahmud Bhuiyan Aman</t>
  </si>
  <si>
    <t>arib.mahmud.bhuiyan@g.bracu.ac.bd</t>
  </si>
  <si>
    <t>1000057045</t>
  </si>
  <si>
    <t>SHAMS ZAMAN ADITTO</t>
  </si>
  <si>
    <t>shamsaditto81@gmail.com</t>
  </si>
  <si>
    <t>1000057062</t>
  </si>
  <si>
    <t>RABITA ISLAM</t>
  </si>
  <si>
    <t>rabita.islam@g.bracu.ac.bd</t>
  </si>
  <si>
    <t>1000057101</t>
  </si>
  <si>
    <t>MD. FORAS UDDIN</t>
  </si>
  <si>
    <t>md.foras.uddin@g.bracu.ac.bd</t>
  </si>
  <si>
    <t>1000057457</t>
  </si>
  <si>
    <t>Fabiha Bushra</t>
  </si>
  <si>
    <t>fabiha.bushra405@gmail.com</t>
  </si>
  <si>
    <t>1000057484</t>
  </si>
  <si>
    <t>Utsha Majumder</t>
  </si>
  <si>
    <t>utshamj24719@gmail.com</t>
  </si>
  <si>
    <t>1000057500</t>
  </si>
  <si>
    <t>Boraida Rahman</t>
  </si>
  <si>
    <t>abhrafacebook@gmail.com</t>
  </si>
  <si>
    <t>1000057509</t>
  </si>
  <si>
    <t>Emon</t>
  </si>
  <si>
    <t>APE</t>
  </si>
  <si>
    <t>hossaineliyas59@gmail.com</t>
  </si>
  <si>
    <t>1000057511</t>
  </si>
  <si>
    <t>Abdullah</t>
  </si>
  <si>
    <t>abdullah2@g.bracu.ac.bd</t>
  </si>
  <si>
    <t>1000057516</t>
  </si>
  <si>
    <t>MD. Touhidul Islam</t>
  </si>
  <si>
    <t>md.touhidul.islam5@g.bracu.ac.bd</t>
  </si>
  <si>
    <t>1000057542</t>
  </si>
  <si>
    <t>Umaeer Zakir</t>
  </si>
  <si>
    <t>umaeer.zakir@g.bracu.ac.bd</t>
  </si>
  <si>
    <t>1000057553</t>
  </si>
  <si>
    <t>Jinan Ahmed</t>
  </si>
  <si>
    <t>jinanahmed2014@gmail.com</t>
  </si>
  <si>
    <t>1000057576</t>
  </si>
  <si>
    <t>MHUTASIM KHAN</t>
  </si>
  <si>
    <t>mhutasim.khan@g.bracu.ac.bd</t>
  </si>
  <si>
    <t>1000057675</t>
  </si>
  <si>
    <t>SHOMEN DEY</t>
  </si>
  <si>
    <t>shomen.dey@g.bracu.ac.bd</t>
  </si>
  <si>
    <t>1000058135</t>
  </si>
  <si>
    <t>M. Montasin Mahmud Joy</t>
  </si>
  <si>
    <t>montasin.mahmud.joy@g.bracu.ac.bd</t>
  </si>
  <si>
    <t>1000058732</t>
  </si>
  <si>
    <t>Swapnil Talukdar Rudra</t>
  </si>
  <si>
    <t>swapniltalukder8@gmail.com</t>
  </si>
  <si>
    <t>24101502</t>
  </si>
  <si>
    <t>ADITI DAS (Section 9)</t>
  </si>
  <si>
    <t>Q1 (Ouf ot 5)</t>
  </si>
  <si>
    <t>Q2 (Ouf ot 5)</t>
  </si>
  <si>
    <t>Q3 (Ouf ot 5)</t>
  </si>
  <si>
    <t>Q4 (Ouf ot 5)</t>
  </si>
  <si>
    <t>A1 (FlowC) (5)</t>
  </si>
  <si>
    <t>A1 (Code) (5)</t>
  </si>
  <si>
    <t>A1 (10)</t>
  </si>
  <si>
    <t>A1 (5)</t>
  </si>
  <si>
    <t>Comment</t>
  </si>
  <si>
    <t>A2 (Tracing) 
(5)</t>
  </si>
  <si>
    <t>A2(coding)     (5)</t>
  </si>
  <si>
    <t>A2 (10)</t>
  </si>
  <si>
    <t>A2 (5)</t>
  </si>
  <si>
    <t>A3 (Coding) (8)</t>
  </si>
  <si>
    <t>A3 (Tracing) (2)</t>
  </si>
  <si>
    <t>Total (10)</t>
  </si>
  <si>
    <t>A3 (5)</t>
  </si>
  <si>
    <t>A4 (Coding) (4)</t>
  </si>
  <si>
    <t>A4 (Tracing) (2)</t>
  </si>
  <si>
    <t>Total (6)</t>
  </si>
  <si>
    <t>A4 (5)</t>
  </si>
  <si>
    <t>A5(Coding)</t>
  </si>
  <si>
    <t>A5 (5)</t>
  </si>
  <si>
    <t>A6 (5)</t>
  </si>
  <si>
    <t xml:space="preserve">Comment  </t>
  </si>
  <si>
    <t>A7 (Coding) (5)</t>
  </si>
  <si>
    <t>A7 (Tracing) (3)</t>
  </si>
  <si>
    <t>A7 (5)</t>
  </si>
  <si>
    <t>A8 (5)</t>
  </si>
  <si>
    <t>Last output missing</t>
  </si>
  <si>
    <t>Why j&lt;31?</t>
  </si>
  <si>
    <t>Task4: Don't use ?.  i &lt;= n ? i : (total_Rows - i + 1); ???</t>
  </si>
  <si>
    <t>use of toLowerCase() is now allowed.</t>
  </si>
  <si>
    <t>Didn't submit tracing</t>
  </si>
  <si>
    <t>No submission.</t>
  </si>
  <si>
    <t>Tracing part: task 07- incorrect form of output. Coding part: task02- logic is not correct.</t>
  </si>
  <si>
    <t>Task 7 is missing.</t>
  </si>
  <si>
    <t>Did not submit tracing part.</t>
  </si>
  <si>
    <t>Incorrect tracing outputs, T2: Math.min is not allowed</t>
  </si>
  <si>
    <t>Didn't submit tracing, coding</t>
  </si>
  <si>
    <t>Output does not match with the required format.</t>
  </si>
  <si>
    <t xml:space="preserve">use of toLowerCase() is not allowed.
</t>
  </si>
  <si>
    <t>Didn't submit</t>
  </si>
  <si>
    <t>Coding part: task03- current logic will not satisfy other test cases.</t>
  </si>
  <si>
    <t>T3,T5: Missing</t>
  </si>
  <si>
    <t>Didn't submit coding</t>
  </si>
  <si>
    <t>Task 6 &amp; 7: Missing</t>
  </si>
  <si>
    <t>Tracing part: Task 07-Incorrect form of output.</t>
  </si>
  <si>
    <t>GPT in Coding, Meet me [KNI]</t>
  </si>
  <si>
    <t xml:space="preserve">No submission. </t>
  </si>
  <si>
    <t>Coding part: did not submit, Tracing part: Task 6 is missing</t>
  </si>
  <si>
    <t>Did not submit coding part.</t>
  </si>
  <si>
    <t>One tracing task missing, T3: Use loop</t>
  </si>
  <si>
    <t>Wrong file format</t>
  </si>
  <si>
    <t>use of contains() and  toLowerCase() are not allowed.</t>
  </si>
  <si>
    <t>T3: First+second?</t>
  </si>
  <si>
    <t>Tracing part: task 07-Partially Incorrect output</t>
  </si>
  <si>
    <t>Didn't submit tracing, GPT in Coding, Meet me [KNI]</t>
  </si>
  <si>
    <t>T3, T4: Missing</t>
  </si>
  <si>
    <t>Task 4,5,6 and 7 are missing</t>
  </si>
  <si>
    <t>T4: Missing</t>
  </si>
  <si>
    <t>T2: Given values are not used. Didn't ask to take input in T1, T2</t>
  </si>
  <si>
    <t>Coding part: task02- please name variables meaningfully.</t>
  </si>
  <si>
    <t>use of equalsIgnoreCase() are not allowed.</t>
  </si>
  <si>
    <t>Use meaningful variable names. What are these??</t>
  </si>
  <si>
    <t>Variable names should be meaningful and related to the given tasks.</t>
  </si>
  <si>
    <t>T3: Don't use ? syntax, Ue meaningful valriable names</t>
  </si>
  <si>
    <t>Late submisson, Didn't consider given values for T3,T4,T5</t>
  </si>
  <si>
    <t>Don't use Math.hypot</t>
  </si>
  <si>
    <t>Use of equalsIgnoreCase() is not allowed.</t>
  </si>
  <si>
    <t>GPT</t>
  </si>
  <si>
    <t>Use of contains() is not allowed.</t>
  </si>
  <si>
    <t>Didn't submit tracing. Coding part: Task 05 and 6 are missing.</t>
  </si>
  <si>
    <t>Incomplete tracing, GPT in coding tasks</t>
  </si>
  <si>
    <t>Incorrect tracing outputs</t>
  </si>
  <si>
    <t>Task02 is missing.</t>
  </si>
  <si>
    <t>Maintain Indentation</t>
  </si>
  <si>
    <t>use of compareTo() is not allowed.</t>
  </si>
  <si>
    <t xml:space="preserve"> use of toLowerCase() is not allowed.</t>
  </si>
  <si>
    <t>T4,T5: Given values not used, no need to take input</t>
  </si>
  <si>
    <t>T5: Missing, T6: Incomplete</t>
  </si>
  <si>
    <t xml:space="preserve">Coding part: task06: partially wrong logic. </t>
  </si>
  <si>
    <t>T5, T6: Missing</t>
  </si>
  <si>
    <t>Task-02 is missing.</t>
  </si>
  <si>
    <t>T4,T5: Missing</t>
  </si>
  <si>
    <t>Late submission tracing</t>
  </si>
  <si>
    <t>Coding part: Didn't handle the All numbers are different case.</t>
  </si>
  <si>
    <t>Task 4 is missing.</t>
  </si>
  <si>
    <t xml:space="preserve">Didn't submit tracing. </t>
  </si>
  <si>
    <t>use of equalsIgnoreCase() is not allowed.</t>
  </si>
  <si>
    <t>T1,T2: Missing, Wrong file format</t>
  </si>
  <si>
    <t>Coding: Wrong file format. task 05 is missing.</t>
  </si>
  <si>
    <t>T4: Missing, Wrong file format</t>
  </si>
  <si>
    <r>
      <rPr>
        <rFont val="Arial"/>
        <b/>
        <color theme="1"/>
      </rPr>
      <t xml:space="preserve">Coding: </t>
    </r>
    <r>
      <rPr>
        <rFont val="Arial"/>
        <color theme="1"/>
      </rPr>
      <t>Task 02 and task 03 are missing.Did not submit tracing part.</t>
    </r>
  </si>
  <si>
    <t>Didn't submit tracing and coding</t>
  </si>
  <si>
    <t>Wrong file format (-0.5)</t>
  </si>
  <si>
    <t>Tracing part: task 07- incorrect output format. Output should be true or false.</t>
  </si>
  <si>
    <t>Last output missing, Few typos n th output</t>
  </si>
  <si>
    <t>use of indexOf(),toUpperCase(), toLowerCase() are not allowed.</t>
  </si>
  <si>
    <t>Coding part: task 05 is missing.</t>
  </si>
  <si>
    <t>Last output missing, GPT in coding</t>
  </si>
  <si>
    <t>Task 1 &amp; 7 are missing.</t>
  </si>
  <si>
    <t>use of isDigit(), toUpperCase(),indexOf(keyword,position) are not allowed.</t>
  </si>
  <si>
    <t>Late submission of coding part.Did not submit tracing part.</t>
  </si>
  <si>
    <t>Don't cut the tracing outputs</t>
  </si>
  <si>
    <t>One tracing task missing</t>
  </si>
  <si>
    <t>T1, T4: Missing</t>
  </si>
  <si>
    <t xml:space="preserve">use of equalsIgnoreCase() is not allowed. </t>
  </si>
  <si>
    <t>T3: GPT</t>
  </si>
  <si>
    <t>Tracing part: task 07-partially incorrect output.</t>
  </si>
  <si>
    <t>use of toUpperCase(),substring(x,sentence.length()) are not allowed.</t>
  </si>
  <si>
    <t>Didn't submit tracing, T5: Missing</t>
  </si>
  <si>
    <t>Coding part: task 01- wrong output. task02: incorrect syntax. Task 4,5 &amp; 6: missing.</t>
  </si>
  <si>
    <t>Late submission via email[CNKY]</t>
  </si>
  <si>
    <t>Task 1,2,3,4,6 and 7 are missing.</t>
  </si>
  <si>
    <t>Task05: logic is not correct. use of toUpperCase(),equalsIgnoreCase() are not allowed.</t>
  </si>
  <si>
    <r>
      <rPr>
        <rFont val="Times New Roman"/>
        <b/>
        <color theme="1"/>
        <sz val="12.0"/>
      </rPr>
      <t>coding:</t>
    </r>
    <r>
      <rPr>
        <rFont val="Times New Roman"/>
        <color theme="1"/>
        <sz val="12.0"/>
      </rPr>
      <t xml:space="preserve"> task 02 missing. irrelevant comments in the file???</t>
    </r>
  </si>
  <si>
    <t>Coding part: task 06 is missing.</t>
  </si>
  <si>
    <t>Logic needs to be more accurate.</t>
  </si>
  <si>
    <t>Coding part: task02- partially incorrect logic.</t>
  </si>
  <si>
    <t>Didn't submit tracing, Copied</t>
  </si>
  <si>
    <t>use of toUpperCase() and  toLowerCase() are not allowed.</t>
  </si>
  <si>
    <t>Copied</t>
  </si>
  <si>
    <t>task 02 is missing. Use of toUpperCase() and indexOf() are not allowed.</t>
  </si>
  <si>
    <t>Great work!!</t>
  </si>
  <si>
    <t>Tracing part:Task 07- outputs should exactly match with the code.</t>
  </si>
  <si>
    <t>GPT in code</t>
  </si>
  <si>
    <t>use of isLetter(),toUpperCase() are not allowed.</t>
  </si>
  <si>
    <t>T5: Incomplete</t>
  </si>
  <si>
    <t>use of toUpperCase(), indexOf() are not allowed.</t>
  </si>
  <si>
    <t>Used GPT in 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</si>
</sst>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2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/>
    <font>
      <b/>
      <sz val="12.0"/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Font="1"/>
    <xf borderId="0" fillId="0" fontId="2" numFmtId="164" xfId="0" applyFont="1" applyNumberFormat="1"/>
    <xf borderId="1" fillId="2" fontId="2" numFmtId="0" xfId="0" applyBorder="1" applyFill="1" applyFont="1"/>
    <xf borderId="2" fillId="2" fontId="2" numFmtId="0" xfId="0" applyBorder="1" applyFont="1"/>
    <xf borderId="2" fillId="3" fontId="3" numFmtId="0" xfId="0" applyAlignment="1" applyBorder="1" applyFill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center" readingOrder="0" shrinkToFit="0" wrapText="1"/>
    </xf>
    <xf borderId="4" fillId="0" fontId="4" numFmtId="0" xfId="0" applyBorder="1" applyFont="1"/>
    <xf borderId="2" fillId="4" fontId="3" numFmtId="0" xfId="0" applyAlignment="1" applyBorder="1" applyFill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6" fillId="5" fontId="3" numFmtId="0" xfId="0" applyAlignment="1" applyBorder="1" applyFill="1" applyFont="1">
      <alignment horizontal="center" shrinkToFit="0" wrapText="1"/>
    </xf>
    <xf borderId="1" fillId="5" fontId="3" numFmtId="0" xfId="0" applyAlignment="1" applyBorder="1" applyFont="1">
      <alignment horizontal="center" shrinkToFit="0" wrapText="1"/>
    </xf>
    <xf borderId="1" fillId="6" fontId="5" numFmtId="164" xfId="0" applyAlignment="1" applyBorder="1" applyFill="1" applyFont="1" applyNumberFormat="1">
      <alignment horizontal="center" shrinkToFit="0" wrapText="1"/>
    </xf>
    <xf borderId="7" fillId="2" fontId="3" numFmtId="0" xfId="0" applyAlignment="1" applyBorder="1" applyFont="1">
      <alignment horizontal="center" shrinkToFit="0" wrapText="1"/>
    </xf>
    <xf borderId="8" fillId="2" fontId="3" numFmtId="0" xfId="0" applyAlignment="1" applyBorder="1" applyFont="1">
      <alignment horizontal="center" shrinkToFit="0" wrapText="1"/>
    </xf>
    <xf borderId="8" fillId="0" fontId="4" numFmtId="0" xfId="0" applyBorder="1" applyFont="1"/>
    <xf borderId="7" fillId="0" fontId="4" numFmtId="0" xfId="0" applyBorder="1" applyFont="1"/>
    <xf borderId="9" fillId="2" fontId="3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readingOrder="0"/>
    </xf>
    <xf borderId="10" fillId="0" fontId="2" numFmtId="0" xfId="0" applyBorder="1" applyFont="1"/>
    <xf borderId="11" fillId="2" fontId="3" numFmtId="0" xfId="0" applyAlignment="1" applyBorder="1" applyFont="1">
      <alignment horizontal="center" shrinkToFit="0" wrapText="1"/>
    </xf>
    <xf borderId="10" fillId="0" fontId="2" numFmtId="0" xfId="0" applyAlignment="1" applyBorder="1" applyFont="1">
      <alignment readingOrder="0" shrinkToFit="0" wrapText="1"/>
    </xf>
    <xf borderId="12" fillId="0" fontId="2" numFmtId="0" xfId="0" applyBorder="1" applyFont="1"/>
    <xf borderId="13" fillId="4" fontId="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horizontal="center" shrinkToFit="0" wrapText="1"/>
    </xf>
    <xf borderId="15" fillId="4" fontId="3" numFmtId="0" xfId="0" applyAlignment="1" applyBorder="1" applyFont="1">
      <alignment horizontal="center" shrinkToFit="0" wrapText="1"/>
    </xf>
    <xf borderId="16" fillId="0" fontId="4" numFmtId="0" xfId="0" applyBorder="1" applyFont="1"/>
    <xf borderId="17" fillId="0" fontId="4" numFmtId="0" xfId="0" applyBorder="1" applyFont="1"/>
    <xf borderId="18" fillId="0" fontId="6" numFmtId="0" xfId="0" applyAlignment="1" applyBorder="1" applyFont="1">
      <alignment horizontal="center" readingOrder="0" shrinkToFit="0" wrapText="1"/>
    </xf>
    <xf borderId="19" fillId="0" fontId="2" numFmtId="49" xfId="0" applyAlignment="1" applyBorder="1" applyFont="1" applyNumberFormat="1">
      <alignment horizontal="center" readingOrder="0"/>
    </xf>
    <xf borderId="20" fillId="7" fontId="2" numFmtId="0" xfId="0" applyAlignment="1" applyBorder="1" applyFill="1" applyFont="1">
      <alignment readingOrder="0"/>
    </xf>
    <xf borderId="20" fillId="7" fontId="2" numFmtId="49" xfId="0" applyAlignment="1" applyBorder="1" applyFont="1" applyNumberFormat="1">
      <alignment readingOrder="0"/>
    </xf>
    <xf borderId="21" fillId="0" fontId="6" numFmtId="0" xfId="0" applyAlignment="1" applyBorder="1" applyFont="1">
      <alignment horizontal="center" readingOrder="0" shrinkToFit="0" wrapText="1"/>
    </xf>
    <xf borderId="22" fillId="0" fontId="3" numFmtId="9" xfId="0" applyAlignment="1" applyBorder="1" applyFont="1" applyNumberFormat="1">
      <alignment horizontal="center" readingOrder="0"/>
    </xf>
    <xf borderId="23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readingOrder="0"/>
    </xf>
    <xf borderId="26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29" fillId="0" fontId="3" numFmtId="4" xfId="0" applyAlignment="1" applyBorder="1" applyFont="1" applyNumberFormat="1">
      <alignment horizontal="center"/>
    </xf>
    <xf borderId="23" fillId="0" fontId="6" numFmtId="0" xfId="0" applyAlignment="1" applyBorder="1" applyFont="1">
      <alignment horizontal="center" readingOrder="0" shrinkToFit="0" wrapText="1"/>
    </xf>
    <xf borderId="21" fillId="0" fontId="2" numFmtId="49" xfId="0" applyAlignment="1" applyBorder="1" applyFont="1" applyNumberFormat="1">
      <alignment horizontal="center" readingOrder="0"/>
    </xf>
    <xf borderId="22" fillId="7" fontId="2" numFmtId="0" xfId="0" applyAlignment="1" applyBorder="1" applyFont="1">
      <alignment readingOrder="0"/>
    </xf>
    <xf borderId="22" fillId="7" fontId="2" numFmtId="49" xfId="0" applyAlignment="1" applyBorder="1" applyFont="1" applyNumberFormat="1">
      <alignment readingOrder="0"/>
    </xf>
    <xf borderId="23" fillId="8" fontId="2" numFmtId="0" xfId="0" applyAlignment="1" applyBorder="1" applyFill="1" applyFont="1">
      <alignment horizontal="center" readingOrder="0" vertical="center"/>
    </xf>
    <xf borderId="24" fillId="3" fontId="2" numFmtId="0" xfId="0" applyAlignment="1" applyBorder="1" applyFont="1">
      <alignment horizontal="center" readingOrder="0" vertical="center"/>
    </xf>
    <xf borderId="22" fillId="7" fontId="2" numFmtId="49" xfId="0" applyBorder="1" applyFont="1" applyNumberFormat="1"/>
    <xf borderId="23" fillId="9" fontId="6" numFmtId="0" xfId="0" applyAlignment="1" applyBorder="1" applyFill="1" applyFont="1">
      <alignment horizontal="center" readingOrder="0" shrinkToFit="0" wrapText="1"/>
    </xf>
    <xf borderId="21" fillId="10" fontId="2" numFmtId="49" xfId="0" applyAlignment="1" applyBorder="1" applyFill="1" applyFont="1" applyNumberFormat="1">
      <alignment horizontal="center" readingOrder="0"/>
    </xf>
    <xf borderId="22" fillId="10" fontId="2" numFmtId="0" xfId="0" applyAlignment="1" applyBorder="1" applyFont="1">
      <alignment readingOrder="0"/>
    </xf>
    <xf borderId="21" fillId="10" fontId="6" numFmtId="0" xfId="0" applyAlignment="1" applyBorder="1" applyFont="1">
      <alignment horizontal="center" readingOrder="0" shrinkToFit="0" wrapText="1"/>
    </xf>
    <xf borderId="22" fillId="10" fontId="3" numFmtId="9" xfId="0" applyAlignment="1" applyBorder="1" applyFont="1" applyNumberFormat="1">
      <alignment horizontal="center" readingOrder="0"/>
    </xf>
    <xf borderId="23" fillId="10" fontId="2" numFmtId="0" xfId="0" applyAlignment="1" applyBorder="1" applyFont="1">
      <alignment horizontal="center" readingOrder="0" vertical="center"/>
    </xf>
    <xf borderId="24" fillId="10" fontId="2" numFmtId="0" xfId="0" applyAlignment="1" applyBorder="1" applyFont="1">
      <alignment horizontal="center" vertical="center"/>
    </xf>
    <xf borderId="24" fillId="10" fontId="2" numFmtId="0" xfId="0" applyAlignment="1" applyBorder="1" applyFont="1">
      <alignment horizontal="center" readingOrder="0" vertical="center"/>
    </xf>
    <xf borderId="23" fillId="10" fontId="2" numFmtId="0" xfId="0" applyAlignment="1" applyBorder="1" applyFont="1">
      <alignment horizontal="center" vertical="center"/>
    </xf>
    <xf borderId="25" fillId="10" fontId="2" numFmtId="0" xfId="0" applyAlignment="1" applyBorder="1" applyFont="1">
      <alignment horizontal="center" vertical="center"/>
    </xf>
    <xf borderId="22" fillId="10" fontId="2" numFmtId="0" xfId="0" applyAlignment="1" applyBorder="1" applyFont="1">
      <alignment horizontal="center" vertical="center"/>
    </xf>
    <xf borderId="21" fillId="10" fontId="2" numFmtId="0" xfId="0" applyAlignment="1" applyBorder="1" applyFont="1">
      <alignment horizontal="center" readingOrder="0" vertical="center"/>
    </xf>
    <xf borderId="21" fillId="10" fontId="2" numFmtId="0" xfId="0" applyAlignment="1" applyBorder="1" applyFont="1">
      <alignment horizontal="center" vertical="center"/>
    </xf>
    <xf borderId="21" fillId="10" fontId="2" numFmtId="0" xfId="0" applyAlignment="1" applyBorder="1" applyFont="1">
      <alignment horizontal="center"/>
    </xf>
    <xf borderId="26" fillId="10" fontId="3" numFmtId="0" xfId="0" applyAlignment="1" applyBorder="1" applyFont="1">
      <alignment horizontal="center" readingOrder="0"/>
    </xf>
    <xf borderId="27" fillId="10" fontId="3" numFmtId="0" xfId="0" applyAlignment="1" applyBorder="1" applyFont="1">
      <alignment horizontal="center" readingOrder="0"/>
    </xf>
    <xf borderId="28" fillId="10" fontId="3" numFmtId="0" xfId="0" applyAlignment="1" applyBorder="1" applyFont="1">
      <alignment horizontal="center" readingOrder="0"/>
    </xf>
    <xf borderId="29" fillId="10" fontId="3" numFmtId="4" xfId="0" applyAlignment="1" applyBorder="1" applyFont="1" applyNumberFormat="1">
      <alignment horizontal="center" readingOrder="0"/>
    </xf>
    <xf borderId="22" fillId="11" fontId="2" numFmtId="0" xfId="0" applyAlignment="1" applyBorder="1" applyFill="1" applyFont="1">
      <alignment readingOrder="0"/>
    </xf>
    <xf borderId="24" fillId="11" fontId="2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readingOrder="0"/>
    </xf>
    <xf borderId="22" fillId="0" fontId="2" numFmtId="49" xfId="0" applyBorder="1" applyFont="1" applyNumberFormat="1"/>
    <xf borderId="23" fillId="0" fontId="6" numFmtId="0" xfId="0" applyAlignment="1" applyBorder="1" applyFont="1">
      <alignment horizontal="center" shrinkToFit="0" wrapText="1"/>
    </xf>
    <xf borderId="21" fillId="0" fontId="2" numFmtId="49" xfId="0" applyAlignment="1" applyBorder="1" applyFont="1" applyNumberFormat="1">
      <alignment horizontal="center" vertical="bottom"/>
    </xf>
    <xf borderId="22" fillId="0" fontId="2" numFmtId="0" xfId="0" applyAlignment="1" applyBorder="1" applyFont="1">
      <alignment vertical="bottom"/>
    </xf>
    <xf borderId="22" fillId="0" fontId="2" numFmtId="0" xfId="0" applyBorder="1" applyFont="1"/>
    <xf borderId="22" fillId="0" fontId="2" numFmtId="49" xfId="0" applyBorder="1" applyFont="1" applyNumberFormat="1"/>
    <xf borderId="21" fillId="0" fontId="2" numFmtId="0" xfId="0" applyAlignment="1" applyBorder="1" applyFont="1">
      <alignment horizontal="center"/>
    </xf>
    <xf borderId="21" fillId="0" fontId="2" numFmtId="0" xfId="0" applyBorder="1" applyFont="1"/>
    <xf borderId="21" fillId="0" fontId="6" numFmtId="0" xfId="0" applyAlignment="1" applyBorder="1" applyFont="1">
      <alignment horizontal="center" shrinkToFit="0" wrapText="1"/>
    </xf>
    <xf borderId="22" fillId="0" fontId="3" numFmtId="9" xfId="0" applyAlignment="1" applyBorder="1" applyFont="1" applyNumberFormat="1">
      <alignment horizontal="center"/>
    </xf>
    <xf borderId="23" fillId="0" fontId="2" numFmtId="0" xfId="0" applyBorder="1" applyFont="1"/>
    <xf borderId="24" fillId="0" fontId="2" numFmtId="0" xfId="0" applyBorder="1" applyFont="1"/>
    <xf borderId="0" fillId="0" fontId="2" numFmtId="49" xfId="0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21" fillId="0" fontId="6" numFmtId="0" xfId="0" applyAlignment="1" applyBorder="1" applyFont="1">
      <alignment horizontal="center" readingOrder="0" shrinkToFit="0" vertical="bottom" wrapText="1"/>
    </xf>
    <xf borderId="21" fillId="0" fontId="2" numFmtId="49" xfId="0" applyAlignment="1" applyBorder="1" applyFont="1" applyNumberFormat="1">
      <alignment horizontal="center" readingOrder="0" vertical="center"/>
    </xf>
    <xf borderId="21" fillId="7" fontId="2" numFmtId="0" xfId="0" applyAlignment="1" applyBorder="1" applyFont="1">
      <alignment horizontal="left" readingOrder="0" vertical="center"/>
    </xf>
    <xf borderId="21" fillId="12" fontId="2" numFmtId="0" xfId="0" applyAlignment="1" applyBorder="1" applyFill="1" applyFont="1">
      <alignment horizontal="center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1" fillId="12" fontId="2" numFmtId="0" xfId="0" applyAlignment="1" applyBorder="1" applyFont="1">
      <alignment horizontal="center" vertical="center"/>
    </xf>
    <xf borderId="21" fillId="13" fontId="2" numFmtId="0" xfId="0" applyAlignment="1" applyBorder="1" applyFill="1" applyFont="1">
      <alignment horizontal="center" vertical="center"/>
    </xf>
    <xf borderId="18" fillId="0" fontId="6" numFmtId="0" xfId="0" applyAlignment="1" applyBorder="1" applyFont="1">
      <alignment horizontal="center" readingOrder="0" shrinkToFit="0" vertical="bottom" wrapText="1"/>
    </xf>
    <xf borderId="19" fillId="0" fontId="2" numFmtId="49" xfId="0" applyAlignment="1" applyBorder="1" applyFont="1" applyNumberFormat="1">
      <alignment horizontal="center" readingOrder="0" vertical="center"/>
    </xf>
    <xf borderId="20" fillId="7" fontId="2" numFmtId="0" xfId="0" applyAlignment="1" applyBorder="1" applyFont="1">
      <alignment horizontal="left" readingOrder="0" vertical="center"/>
    </xf>
    <xf borderId="24" fillId="12" fontId="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4" fillId="12" fontId="2" numFmtId="0" xfId="0" applyAlignment="1" applyBorder="1" applyFont="1">
      <alignment horizontal="center" vertical="center"/>
    </xf>
    <xf borderId="25" fillId="12" fontId="2" numFmtId="0" xfId="0" applyAlignment="1" applyBorder="1" applyFont="1">
      <alignment horizontal="center" vertical="center"/>
    </xf>
    <xf borderId="23" fillId="0" fontId="6" numFmtId="0" xfId="0" applyAlignment="1" applyBorder="1" applyFont="1">
      <alignment horizontal="center" readingOrder="0" shrinkToFit="0" vertical="bottom" wrapText="1"/>
    </xf>
    <xf borderId="22" fillId="7" fontId="2" numFmtId="0" xfId="0" applyAlignment="1" applyBorder="1" applyFont="1">
      <alignment horizontal="left" readingOrder="0" vertical="center"/>
    </xf>
    <xf borderId="22" fillId="0" fontId="2" numFmtId="0" xfId="0" applyAlignment="1" applyBorder="1" applyFont="1">
      <alignment horizontal="left" readingOrder="0" vertical="center"/>
    </xf>
    <xf borderId="23" fillId="0" fontId="6" numFmtId="0" xfId="0" applyAlignment="1" applyBorder="1" applyFont="1">
      <alignment horizontal="center" shrinkToFit="0" vertical="bottom" wrapText="1"/>
    </xf>
    <xf borderId="21" fillId="0" fontId="2" numFmtId="49" xfId="0" applyAlignment="1" applyBorder="1" applyFont="1" applyNumberFormat="1">
      <alignment horizontal="center"/>
    </xf>
    <xf borderId="22" fillId="7" fontId="2" numFmtId="0" xfId="0" applyBorder="1" applyFont="1"/>
    <xf borderId="24" fillId="0" fontId="2" numFmtId="0" xfId="0" applyAlignment="1" applyBorder="1" applyFont="1">
      <alignment horizontal="center"/>
    </xf>
    <xf borderId="24" fillId="12" fontId="2" numFmtId="0" xfId="0" applyAlignment="1" applyBorder="1" applyFont="1">
      <alignment horizontal="center" shrinkToFit="0" wrapText="1"/>
    </xf>
    <xf borderId="24" fillId="0" fontId="2" numFmtId="0" xfId="0" applyAlignment="1" applyBorder="1" applyFont="1">
      <alignment horizontal="center" shrinkToFit="0" wrapText="1"/>
    </xf>
    <xf borderId="24" fillId="12" fontId="2" numFmtId="0" xfId="0" applyAlignment="1" applyBorder="1" applyFont="1">
      <alignment horizontal="center"/>
    </xf>
    <xf borderId="25" fillId="12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21" fillId="13" fontId="2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vertical="bottom" wrapText="1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12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left"/>
    </xf>
    <xf borderId="23" fillId="0" fontId="7" numFmtId="0" xfId="0" applyBorder="1" applyFont="1"/>
    <xf borderId="21" fillId="0" fontId="7" numFmtId="0" xfId="0" applyBorder="1" applyFont="1"/>
    <xf borderId="22" fillId="0" fontId="7" numFmtId="0" xfId="0" applyAlignment="1" applyBorder="1" applyFont="1">
      <alignment horizontal="left"/>
    </xf>
    <xf borderId="24" fillId="0" fontId="7" numFmtId="0" xfId="0" applyBorder="1" applyFont="1"/>
    <xf borderId="25" fillId="0" fontId="7" numFmtId="0" xfId="0" applyBorder="1" applyFont="1"/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30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31" fillId="2" fontId="3" numFmtId="0" xfId="0" applyAlignment="1" applyBorder="1" applyFont="1">
      <alignment horizontal="center" shrinkToFit="0" vertical="center" wrapText="1"/>
    </xf>
    <xf borderId="31" fillId="2" fontId="3" numFmtId="0" xfId="0" applyAlignment="1" applyBorder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 shrinkToFit="0" vertical="center" wrapText="1"/>
    </xf>
    <xf borderId="21" fillId="2" fontId="8" numFmtId="0" xfId="0" applyAlignment="1" applyBorder="1" applyFont="1">
      <alignment horizontal="center" readingOrder="0" vertical="center"/>
    </xf>
    <xf borderId="21" fillId="2" fontId="8" numFmtId="0" xfId="0" applyAlignment="1" applyBorder="1" applyFont="1">
      <alignment horizontal="center" readingOrder="0" shrinkToFit="0" vertical="center" wrapText="1"/>
    </xf>
    <xf borderId="21" fillId="2" fontId="3" numFmtId="0" xfId="0" applyAlignment="1" applyBorder="1" applyFont="1">
      <alignment horizontal="center" shrinkToFit="0" vertical="center" wrapText="1"/>
    </xf>
    <xf borderId="0" fillId="2" fontId="8" numFmtId="0" xfId="0" applyAlignment="1" applyFont="1">
      <alignment readingOrder="0"/>
    </xf>
    <xf borderId="21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vertical="center"/>
    </xf>
    <xf borderId="21" fillId="2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21" fillId="0" fontId="8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shrinkToFit="0" vertical="center" wrapText="1"/>
    </xf>
    <xf borderId="21" fillId="0" fontId="9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readingOrder="0" shrinkToFit="0" vertical="center" wrapText="1"/>
    </xf>
    <xf borderId="21" fillId="0" fontId="7" numFmtId="0" xfId="0" applyAlignment="1" applyBorder="1" applyFont="1">
      <alignment readingOrder="0" shrinkToFit="0" vertical="center" wrapText="1"/>
    </xf>
    <xf borderId="21" fillId="7" fontId="10" numFmtId="0" xfId="0" applyAlignment="1" applyBorder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/>
    </xf>
    <xf borderId="21" fillId="0" fontId="11" numFmtId="0" xfId="0" applyAlignment="1" applyBorder="1" applyFont="1">
      <alignment horizontal="center" readingOrder="0" shrinkToFit="0" vertical="center" wrapText="1"/>
    </xf>
    <xf borderId="21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4.0"/>
    <col customWidth="1" min="3" max="3" width="31.75"/>
    <col customWidth="1" hidden="1" min="4" max="4" width="16.25"/>
    <col hidden="1" min="5" max="6" width="12.63"/>
    <col customWidth="1" min="11" max="11" width="9.63"/>
    <col customWidth="1" min="12" max="12" width="12.13"/>
    <col customWidth="1" min="14" max="14" width="13.88"/>
    <col customWidth="1" min="24" max="24" width="13.5"/>
    <col hidden="1" min="27" max="30" width="12.63"/>
    <col hidden="1" min="39" max="39" width="12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</row>
    <row r="2">
      <c r="A2" s="4"/>
      <c r="B2" s="4"/>
      <c r="C2" s="5"/>
      <c r="D2" s="5"/>
      <c r="E2" s="5"/>
      <c r="F2" s="5"/>
      <c r="G2" s="6" t="s">
        <v>1</v>
      </c>
      <c r="H2" s="7" t="s">
        <v>2</v>
      </c>
      <c r="I2" s="8" t="s">
        <v>3</v>
      </c>
      <c r="J2" s="9"/>
      <c r="K2" s="8" t="s">
        <v>4</v>
      </c>
      <c r="L2" s="9"/>
      <c r="M2" s="8" t="s">
        <v>5</v>
      </c>
      <c r="N2" s="9"/>
      <c r="O2" s="8" t="s">
        <v>6</v>
      </c>
      <c r="P2" s="9"/>
      <c r="Q2" s="8" t="s">
        <v>7</v>
      </c>
      <c r="R2" s="9"/>
      <c r="S2" s="8" t="s">
        <v>8</v>
      </c>
      <c r="T2" s="9"/>
      <c r="U2" s="8" t="s">
        <v>9</v>
      </c>
      <c r="V2" s="9"/>
      <c r="W2" s="8" t="s">
        <v>10</v>
      </c>
      <c r="X2" s="9"/>
      <c r="Y2" s="8" t="s">
        <v>11</v>
      </c>
      <c r="Z2" s="9"/>
      <c r="AA2" s="8"/>
      <c r="AB2" s="9"/>
      <c r="AC2" s="8"/>
      <c r="AD2" s="9"/>
      <c r="AE2" s="10" t="s">
        <v>12</v>
      </c>
      <c r="AF2" s="11"/>
      <c r="AG2" s="11"/>
      <c r="AH2" s="11"/>
      <c r="AI2" s="11"/>
      <c r="AJ2" s="11"/>
      <c r="AK2" s="11"/>
      <c r="AL2" s="11"/>
      <c r="AM2" s="12"/>
      <c r="AN2" s="13" t="s">
        <v>13</v>
      </c>
      <c r="AO2" s="13" t="s">
        <v>14</v>
      </c>
      <c r="AP2" s="14" t="s">
        <v>15</v>
      </c>
      <c r="AQ2" s="15" t="s">
        <v>16</v>
      </c>
    </row>
    <row r="3">
      <c r="A3" s="16" t="s">
        <v>17</v>
      </c>
      <c r="B3" s="16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8"/>
      <c r="H3" s="19"/>
      <c r="I3" s="20" t="s">
        <v>23</v>
      </c>
      <c r="J3" s="21"/>
      <c r="K3" s="20" t="s">
        <v>23</v>
      </c>
      <c r="L3" s="21" t="s">
        <v>24</v>
      </c>
      <c r="M3" s="20" t="s">
        <v>23</v>
      </c>
      <c r="N3" s="21" t="s">
        <v>25</v>
      </c>
      <c r="O3" s="20" t="s">
        <v>23</v>
      </c>
      <c r="P3" s="22"/>
      <c r="Q3" s="20" t="s">
        <v>23</v>
      </c>
      <c r="R3" s="21" t="s">
        <v>25</v>
      </c>
      <c r="S3" s="20" t="s">
        <v>23</v>
      </c>
      <c r="T3" s="21" t="s">
        <v>24</v>
      </c>
      <c r="U3" s="23" t="s">
        <v>23</v>
      </c>
      <c r="V3" s="24" t="s">
        <v>25</v>
      </c>
      <c r="W3" s="20" t="s">
        <v>23</v>
      </c>
      <c r="X3" s="24" t="s">
        <v>25</v>
      </c>
      <c r="Y3" s="23" t="s">
        <v>23</v>
      </c>
      <c r="Z3" s="21"/>
      <c r="AA3" s="20"/>
      <c r="AB3" s="22"/>
      <c r="AC3" s="20"/>
      <c r="AD3" s="25"/>
      <c r="AE3" s="26" t="s">
        <v>26</v>
      </c>
      <c r="AF3" s="27" t="s">
        <v>27</v>
      </c>
      <c r="AG3" s="27" t="s">
        <v>28</v>
      </c>
      <c r="AH3" s="27" t="s">
        <v>29</v>
      </c>
      <c r="AI3" s="27" t="s">
        <v>30</v>
      </c>
      <c r="AJ3" s="27" t="s">
        <v>31</v>
      </c>
      <c r="AK3" s="27" t="s">
        <v>32</v>
      </c>
      <c r="AL3" s="27" t="s">
        <v>33</v>
      </c>
      <c r="AM3" s="28"/>
      <c r="AN3" s="29"/>
      <c r="AO3" s="29"/>
      <c r="AP3" s="30"/>
      <c r="AQ3" s="19"/>
    </row>
    <row r="4">
      <c r="A4" s="31">
        <v>1.0</v>
      </c>
      <c r="B4" s="32" t="s">
        <v>34</v>
      </c>
      <c r="C4" s="33" t="s">
        <v>35</v>
      </c>
      <c r="D4" s="33" t="s">
        <v>36</v>
      </c>
      <c r="E4" s="33" t="s">
        <v>37</v>
      </c>
      <c r="F4" s="34" t="s">
        <v>38</v>
      </c>
      <c r="G4" s="35">
        <f t="shared" ref="G4:G42" si="1">SUMPRODUCT(($K$3:$Z$3 = "Attd.") * (ISBLANK(K4:Z4) = FALSE) * (NOT(ISNUMBER(K4:Z4) * (K4:Z4 &lt;&gt; 0))))</f>
        <v>0</v>
      </c>
      <c r="H4" s="36">
        <f t="shared" ref="H4:H42" si="2">IF(G4 = 1, 0.9, ((SUMPRODUCT($K$3:$Z$3 = "Attd.") - G4) / (SUMPRODUCT($K$3:$Z$3 = "Attd."))))</f>
        <v>1</v>
      </c>
      <c r="I4" s="37">
        <v>1.0</v>
      </c>
      <c r="J4" s="38"/>
      <c r="K4" s="38">
        <v>1.0</v>
      </c>
      <c r="L4" s="38">
        <v>5.0</v>
      </c>
      <c r="M4" s="37">
        <v>1.0</v>
      </c>
      <c r="N4" s="38">
        <v>9.75</v>
      </c>
      <c r="O4" s="37">
        <v>1.0</v>
      </c>
      <c r="P4" s="39"/>
      <c r="Q4" s="37">
        <v>1.0</v>
      </c>
      <c r="R4" s="38">
        <v>10.0</v>
      </c>
      <c r="S4" s="37">
        <v>1.0</v>
      </c>
      <c r="T4" s="38">
        <v>4.0</v>
      </c>
      <c r="U4" s="37">
        <v>1.0</v>
      </c>
      <c r="V4" s="38">
        <v>6.5</v>
      </c>
      <c r="W4" s="37">
        <v>1.0</v>
      </c>
      <c r="X4" s="38">
        <v>10.0</v>
      </c>
      <c r="Y4" s="37">
        <v>1.0</v>
      </c>
      <c r="Z4" s="39"/>
      <c r="AA4" s="40"/>
      <c r="AB4" s="39"/>
      <c r="AC4" s="41"/>
      <c r="AD4" s="42"/>
      <c r="AE4" s="40">
        <v>5.0</v>
      </c>
      <c r="AF4" s="43">
        <v>5.0</v>
      </c>
      <c r="AG4" s="44">
        <v>5.0</v>
      </c>
      <c r="AH4" s="43">
        <v>5.0</v>
      </c>
      <c r="AI4" s="43">
        <v>5.0</v>
      </c>
      <c r="AJ4" s="43">
        <v>5.0</v>
      </c>
      <c r="AK4" s="44">
        <v>5.0</v>
      </c>
      <c r="AL4" s="45">
        <v>5.0</v>
      </c>
      <c r="AM4" s="39"/>
      <c r="AN4" s="46">
        <f t="shared" ref="AN4:AN26" si="3">(SUMIF($AE$3:$AM$3, "Lab*", AE4:AM4) / COUNTIF($AE$3:$AM$3, "Lab*"))*2/5</f>
        <v>2</v>
      </c>
      <c r="AO4" s="47">
        <f t="shared" ref="AO4:AO26" si="4">(SUMIF($I$3:$AB$3, "Evaluation*", I4:AB4) / COUNTIF($I$3:$AB$3, "Evaluation*"))*3/5</f>
        <v>2.7</v>
      </c>
      <c r="AP4" s="48">
        <f>IFERROR(__xludf.DUMMYFUNCTION("AVERAGE(ARRAYFORMULA(LARGE(FILTER(IF(ISNUMBER(I4:AB4), I4:AB4, 0), ISNUMBER(SEARCH(""Exam*"", $I$3:$AB$3))), ROW(INDIRECT(""1:"" &amp; COUNTIF($I$3:$AB$3, ""Exam*"")-1)))))*2"),19.833333333333332)</f>
        <v>19.83333333</v>
      </c>
      <c r="AQ4" s="49">
        <f t="shared" ref="AQ4:AQ26" si="5">CEILING(SUM(AN4:AP4),0.25)</f>
        <v>24.75</v>
      </c>
    </row>
    <row r="5">
      <c r="A5" s="50">
        <v>2.0</v>
      </c>
      <c r="B5" s="51" t="s">
        <v>39</v>
      </c>
      <c r="C5" s="52" t="s">
        <v>40</v>
      </c>
      <c r="D5" s="52" t="s">
        <v>41</v>
      </c>
      <c r="E5" s="52" t="s">
        <v>42</v>
      </c>
      <c r="F5" s="53" t="s">
        <v>43</v>
      </c>
      <c r="G5" s="35">
        <f t="shared" si="1"/>
        <v>1</v>
      </c>
      <c r="H5" s="36">
        <f t="shared" si="2"/>
        <v>0.9</v>
      </c>
      <c r="I5" s="37">
        <v>1.0</v>
      </c>
      <c r="J5" s="38"/>
      <c r="K5" s="38">
        <v>1.0</v>
      </c>
      <c r="L5" s="38">
        <v>3.0</v>
      </c>
      <c r="M5" s="37">
        <v>1.0</v>
      </c>
      <c r="N5" s="38">
        <v>8.75</v>
      </c>
      <c r="O5" s="37">
        <v>1.0</v>
      </c>
      <c r="P5" s="39"/>
      <c r="Q5" s="37">
        <v>1.0</v>
      </c>
      <c r="R5" s="38">
        <v>5.0</v>
      </c>
      <c r="S5" s="37">
        <v>1.0</v>
      </c>
      <c r="T5" s="38">
        <v>4.0</v>
      </c>
      <c r="U5" s="37">
        <v>1.0</v>
      </c>
      <c r="V5" s="38">
        <v>3.5</v>
      </c>
      <c r="W5" s="37">
        <v>1.0</v>
      </c>
      <c r="X5" s="38">
        <v>4.0</v>
      </c>
      <c r="Y5" s="37">
        <v>0.0</v>
      </c>
      <c r="Z5" s="39"/>
      <c r="AA5" s="40"/>
      <c r="AB5" s="39"/>
      <c r="AC5" s="41"/>
      <c r="AD5" s="42"/>
      <c r="AE5" s="40">
        <v>5.0</v>
      </c>
      <c r="AF5" s="43">
        <v>5.0</v>
      </c>
      <c r="AG5" s="44">
        <v>4.95</v>
      </c>
      <c r="AH5" s="43">
        <v>4.83</v>
      </c>
      <c r="AI5" s="43">
        <v>4.85</v>
      </c>
      <c r="AJ5" s="43">
        <v>2.35</v>
      </c>
      <c r="AK5" s="44">
        <v>3.13</v>
      </c>
      <c r="AL5" s="45">
        <v>0.0</v>
      </c>
      <c r="AM5" s="39"/>
      <c r="AN5" s="46">
        <f t="shared" si="3"/>
        <v>1.5055</v>
      </c>
      <c r="AO5" s="47">
        <f t="shared" si="4"/>
        <v>2.1</v>
      </c>
      <c r="AP5" s="48">
        <f>IFERROR(__xludf.DUMMYFUNCTION("AVERAGE(ARRAYFORMULA(LARGE(FILTER(IF(ISNUMBER(I5:AB5), I5:AB5, 0), ISNUMBER(SEARCH(""Exam*"", $I$3:$AB$3))), ROW(INDIRECT(""1:"" &amp; COUNTIF($I$3:$AB$3, ""Exam*"")-1)))))*2"),11.833333333333334)</f>
        <v>11.83333333</v>
      </c>
      <c r="AQ5" s="49">
        <f t="shared" si="5"/>
        <v>15.5</v>
      </c>
    </row>
    <row r="6">
      <c r="A6" s="50">
        <v>3.0</v>
      </c>
      <c r="B6" s="51" t="s">
        <v>44</v>
      </c>
      <c r="C6" s="52" t="s">
        <v>45</v>
      </c>
      <c r="D6" s="52" t="s">
        <v>41</v>
      </c>
      <c r="E6" s="52" t="s">
        <v>46</v>
      </c>
      <c r="F6" s="53" t="s">
        <v>47</v>
      </c>
      <c r="G6" s="35">
        <f t="shared" si="1"/>
        <v>0</v>
      </c>
      <c r="H6" s="36">
        <f t="shared" si="2"/>
        <v>1</v>
      </c>
      <c r="I6" s="37">
        <v>1.0</v>
      </c>
      <c r="J6" s="39"/>
      <c r="K6" s="38">
        <v>1.0</v>
      </c>
      <c r="L6" s="38">
        <v>5.0</v>
      </c>
      <c r="M6" s="37">
        <v>1.0</v>
      </c>
      <c r="N6" s="38">
        <v>9.0</v>
      </c>
      <c r="O6" s="37">
        <v>1.0</v>
      </c>
      <c r="P6" s="39"/>
      <c r="Q6" s="37">
        <v>1.0</v>
      </c>
      <c r="R6" s="38">
        <v>4.0</v>
      </c>
      <c r="S6" s="37">
        <v>1.0</v>
      </c>
      <c r="T6" s="38">
        <v>5.0</v>
      </c>
      <c r="U6" s="37">
        <v>1.0</v>
      </c>
      <c r="V6" s="38">
        <v>4.0</v>
      </c>
      <c r="W6" s="37">
        <v>1.0</v>
      </c>
      <c r="X6" s="38">
        <v>6.0</v>
      </c>
      <c r="Y6" s="37">
        <v>1.0</v>
      </c>
      <c r="Z6" s="39"/>
      <c r="AA6" s="40"/>
      <c r="AB6" s="39"/>
      <c r="AC6" s="41"/>
      <c r="AD6" s="42"/>
      <c r="AE6" s="40">
        <v>5.0</v>
      </c>
      <c r="AF6" s="43">
        <v>4.55</v>
      </c>
      <c r="AG6" s="44">
        <v>5.0</v>
      </c>
      <c r="AH6" s="43">
        <v>5.0</v>
      </c>
      <c r="AI6" s="43">
        <v>4.3</v>
      </c>
      <c r="AJ6" s="43">
        <v>4.85</v>
      </c>
      <c r="AK6" s="44">
        <v>5.0</v>
      </c>
      <c r="AL6" s="45">
        <v>2.5</v>
      </c>
      <c r="AM6" s="39"/>
      <c r="AN6" s="46">
        <f t="shared" si="3"/>
        <v>1.81</v>
      </c>
      <c r="AO6" s="47">
        <f t="shared" si="4"/>
        <v>3</v>
      </c>
      <c r="AP6" s="48">
        <f>IFERROR(__xludf.DUMMYFUNCTION("AVERAGE(ARRAYFORMULA(LARGE(FILTER(IF(ISNUMBER(I6:AB6), I6:AB6, 0), ISNUMBER(SEARCH(""Exam*"", $I$3:$AB$3))), ROW(INDIRECT(""1:"" &amp; COUNTIF($I$3:$AB$3, ""Exam*"")-1)))))*2"),12.666666666666666)</f>
        <v>12.66666667</v>
      </c>
      <c r="AQ6" s="49">
        <f t="shared" si="5"/>
        <v>17.5</v>
      </c>
    </row>
    <row r="7">
      <c r="A7" s="50">
        <v>4.0</v>
      </c>
      <c r="B7" s="51" t="s">
        <v>48</v>
      </c>
      <c r="C7" s="52" t="s">
        <v>49</v>
      </c>
      <c r="D7" s="52" t="s">
        <v>41</v>
      </c>
      <c r="E7" s="52" t="s">
        <v>50</v>
      </c>
      <c r="F7" s="53" t="s">
        <v>51</v>
      </c>
      <c r="G7" s="35">
        <f t="shared" si="1"/>
        <v>0</v>
      </c>
      <c r="H7" s="36">
        <f t="shared" si="2"/>
        <v>1</v>
      </c>
      <c r="I7" s="37">
        <v>1.0</v>
      </c>
      <c r="J7" s="39"/>
      <c r="K7" s="38">
        <v>1.0</v>
      </c>
      <c r="L7" s="38">
        <v>5.0</v>
      </c>
      <c r="M7" s="37">
        <v>1.0</v>
      </c>
      <c r="N7" s="38">
        <v>8.0</v>
      </c>
      <c r="O7" s="37">
        <v>1.0</v>
      </c>
      <c r="P7" s="39"/>
      <c r="Q7" s="37">
        <v>1.0</v>
      </c>
      <c r="R7" s="38">
        <v>4.0</v>
      </c>
      <c r="S7" s="37">
        <v>1.0</v>
      </c>
      <c r="T7" s="38">
        <v>4.75</v>
      </c>
      <c r="U7" s="37">
        <v>1.0</v>
      </c>
      <c r="V7" s="38">
        <v>2.0</v>
      </c>
      <c r="W7" s="37">
        <v>1.0</v>
      </c>
      <c r="X7" s="38">
        <v>6.0</v>
      </c>
      <c r="Y7" s="37">
        <v>1.0</v>
      </c>
      <c r="Z7" s="39"/>
      <c r="AA7" s="40"/>
      <c r="AB7" s="39"/>
      <c r="AC7" s="41"/>
      <c r="AD7" s="42"/>
      <c r="AE7" s="40">
        <v>4.25</v>
      </c>
      <c r="AF7" s="43">
        <v>5.0</v>
      </c>
      <c r="AG7" s="44">
        <v>4.2</v>
      </c>
      <c r="AH7" s="43">
        <v>0.0</v>
      </c>
      <c r="AI7" s="43">
        <v>4.5</v>
      </c>
      <c r="AJ7" s="43">
        <v>2.35</v>
      </c>
      <c r="AK7" s="44">
        <v>0.0</v>
      </c>
      <c r="AL7" s="45">
        <v>0.0</v>
      </c>
      <c r="AM7" s="39"/>
      <c r="AN7" s="46">
        <f t="shared" si="3"/>
        <v>1.015</v>
      </c>
      <c r="AO7" s="47">
        <f t="shared" si="4"/>
        <v>2.925</v>
      </c>
      <c r="AP7" s="48">
        <f>IFERROR(__xludf.DUMMYFUNCTION("AVERAGE(ARRAYFORMULA(LARGE(FILTER(IF(ISNUMBER(I7:AB7), I7:AB7, 0), ISNUMBER(SEARCH(""Exam*"", $I$3:$AB$3))), ROW(INDIRECT(""1:"" &amp; COUNTIF($I$3:$AB$3, ""Exam*"")-1)))))*2"),12.0)</f>
        <v>12</v>
      </c>
      <c r="AQ7" s="49">
        <f t="shared" si="5"/>
        <v>16</v>
      </c>
    </row>
    <row r="8">
      <c r="A8" s="50">
        <v>5.0</v>
      </c>
      <c r="B8" s="51" t="s">
        <v>52</v>
      </c>
      <c r="C8" s="52" t="s">
        <v>53</v>
      </c>
      <c r="D8" s="52" t="s">
        <v>41</v>
      </c>
      <c r="E8" s="52" t="s">
        <v>54</v>
      </c>
      <c r="F8" s="53" t="s">
        <v>55</v>
      </c>
      <c r="G8" s="35">
        <f t="shared" si="1"/>
        <v>1</v>
      </c>
      <c r="H8" s="36">
        <f t="shared" si="2"/>
        <v>0.9</v>
      </c>
      <c r="I8" s="37">
        <v>1.0</v>
      </c>
      <c r="J8" s="39"/>
      <c r="K8" s="38">
        <v>1.0</v>
      </c>
      <c r="L8" s="38">
        <v>5.0</v>
      </c>
      <c r="M8" s="37">
        <v>1.0</v>
      </c>
      <c r="N8" s="38">
        <v>10.0</v>
      </c>
      <c r="O8" s="37">
        <v>1.0</v>
      </c>
      <c r="P8" s="39"/>
      <c r="Q8" s="37">
        <v>1.0</v>
      </c>
      <c r="R8" s="38">
        <v>6.0</v>
      </c>
      <c r="S8" s="37">
        <v>1.0</v>
      </c>
      <c r="T8" s="38">
        <v>5.0</v>
      </c>
      <c r="U8" s="37">
        <v>1.0</v>
      </c>
      <c r="V8" s="38">
        <v>8.0</v>
      </c>
      <c r="W8" s="37">
        <v>1.0</v>
      </c>
      <c r="X8" s="38">
        <v>7.0</v>
      </c>
      <c r="Y8" s="37">
        <v>0.0</v>
      </c>
      <c r="Z8" s="39"/>
      <c r="AA8" s="40"/>
      <c r="AB8" s="39"/>
      <c r="AC8" s="41"/>
      <c r="AD8" s="42"/>
      <c r="AE8" s="40">
        <v>5.0</v>
      </c>
      <c r="AF8" s="43">
        <v>4.93</v>
      </c>
      <c r="AG8" s="44">
        <v>4.0</v>
      </c>
      <c r="AH8" s="43">
        <v>1.67</v>
      </c>
      <c r="AI8" s="43">
        <v>3.58</v>
      </c>
      <c r="AJ8" s="43">
        <v>0.0</v>
      </c>
      <c r="AK8" s="44">
        <v>0.0</v>
      </c>
      <c r="AL8" s="45">
        <v>0.0</v>
      </c>
      <c r="AM8" s="39"/>
      <c r="AN8" s="46">
        <f t="shared" si="3"/>
        <v>0.959</v>
      </c>
      <c r="AO8" s="47">
        <f t="shared" si="4"/>
        <v>3</v>
      </c>
      <c r="AP8" s="48">
        <f>IFERROR(__xludf.DUMMYFUNCTION("AVERAGE(ARRAYFORMULA(LARGE(FILTER(IF(ISNUMBER(I8:AB8), I8:AB8, 0), ISNUMBER(SEARCH(""Exam*"", $I$3:$AB$3))), ROW(INDIRECT(""1:"" &amp; COUNTIF($I$3:$AB$3, ""Exam*"")-1)))))*2"),16.666666666666668)</f>
        <v>16.66666667</v>
      </c>
      <c r="AQ8" s="49">
        <f t="shared" si="5"/>
        <v>20.75</v>
      </c>
    </row>
    <row r="9">
      <c r="A9" s="50">
        <v>6.0</v>
      </c>
      <c r="B9" s="51" t="s">
        <v>56</v>
      </c>
      <c r="C9" s="52" t="s">
        <v>57</v>
      </c>
      <c r="D9" s="52" t="s">
        <v>58</v>
      </c>
      <c r="E9" s="52" t="s">
        <v>59</v>
      </c>
      <c r="F9" s="53" t="s">
        <v>60</v>
      </c>
      <c r="G9" s="35">
        <f t="shared" si="1"/>
        <v>1</v>
      </c>
      <c r="H9" s="36">
        <f t="shared" si="2"/>
        <v>0.9</v>
      </c>
      <c r="I9" s="37">
        <v>1.0</v>
      </c>
      <c r="J9" s="39"/>
      <c r="K9" s="38">
        <v>1.0</v>
      </c>
      <c r="L9" s="38">
        <v>5.0</v>
      </c>
      <c r="M9" s="37">
        <v>1.0</v>
      </c>
      <c r="N9" s="38">
        <v>7.0</v>
      </c>
      <c r="O9" s="37">
        <v>1.0</v>
      </c>
      <c r="P9" s="39"/>
      <c r="Q9" s="37">
        <v>1.0</v>
      </c>
      <c r="R9" s="38">
        <v>5.0</v>
      </c>
      <c r="S9" s="37">
        <v>1.0</v>
      </c>
      <c r="T9" s="38">
        <v>4.0</v>
      </c>
      <c r="U9" s="37">
        <v>1.0</v>
      </c>
      <c r="V9" s="38">
        <v>3.75</v>
      </c>
      <c r="W9" s="37">
        <v>1.0</v>
      </c>
      <c r="X9" s="38">
        <v>4.0</v>
      </c>
      <c r="Y9" s="37">
        <v>0.0</v>
      </c>
      <c r="Z9" s="39"/>
      <c r="AA9" s="40"/>
      <c r="AB9" s="39"/>
      <c r="AC9" s="41"/>
      <c r="AD9" s="42"/>
      <c r="AE9" s="40">
        <v>2.45</v>
      </c>
      <c r="AF9" s="43">
        <v>4.93</v>
      </c>
      <c r="AG9" s="44">
        <v>1.0</v>
      </c>
      <c r="AH9" s="43">
        <v>0.83</v>
      </c>
      <c r="AI9" s="43">
        <v>0.0</v>
      </c>
      <c r="AJ9" s="43">
        <v>1.25</v>
      </c>
      <c r="AK9" s="44">
        <v>1.69</v>
      </c>
      <c r="AL9" s="45">
        <v>2.5</v>
      </c>
      <c r="AM9" s="39"/>
      <c r="AN9" s="46">
        <f t="shared" si="3"/>
        <v>0.7325</v>
      </c>
      <c r="AO9" s="47">
        <f t="shared" si="4"/>
        <v>2.7</v>
      </c>
      <c r="AP9" s="48">
        <f>IFERROR(__xludf.DUMMYFUNCTION("AVERAGE(ARRAYFORMULA(LARGE(FILTER(IF(ISNUMBER(I9:AB9), I9:AB9, 0), ISNUMBER(SEARCH(""Exam*"", $I$3:$AB$3))), ROW(INDIRECT(""1:"" &amp; COUNTIF($I$3:$AB$3, ""Exam*"")-1)))))*2"),10.666666666666666)</f>
        <v>10.66666667</v>
      </c>
      <c r="AQ9" s="49">
        <f t="shared" si="5"/>
        <v>14.25</v>
      </c>
    </row>
    <row r="10">
      <c r="A10" s="50">
        <v>7.0</v>
      </c>
      <c r="B10" s="51" t="s">
        <v>61</v>
      </c>
      <c r="C10" s="52" t="s">
        <v>62</v>
      </c>
      <c r="D10" s="52" t="s">
        <v>63</v>
      </c>
      <c r="E10" s="52" t="s">
        <v>64</v>
      </c>
      <c r="F10" s="53" t="s">
        <v>65</v>
      </c>
      <c r="G10" s="35">
        <f t="shared" si="1"/>
        <v>1</v>
      </c>
      <c r="H10" s="36">
        <f t="shared" si="2"/>
        <v>0.9</v>
      </c>
      <c r="I10" s="37">
        <v>0.0</v>
      </c>
      <c r="J10" s="39"/>
      <c r="K10" s="38">
        <v>1.0</v>
      </c>
      <c r="L10" s="38">
        <v>5.0</v>
      </c>
      <c r="M10" s="37">
        <v>1.0</v>
      </c>
      <c r="N10" s="38">
        <v>8.75</v>
      </c>
      <c r="O10" s="37">
        <v>1.0</v>
      </c>
      <c r="P10" s="39"/>
      <c r="Q10" s="37">
        <v>1.0</v>
      </c>
      <c r="R10" s="38">
        <v>5.0</v>
      </c>
      <c r="S10" s="37">
        <v>1.0</v>
      </c>
      <c r="T10" s="38">
        <v>5.0</v>
      </c>
      <c r="U10" s="37">
        <v>1.0</v>
      </c>
      <c r="V10" s="38">
        <v>3.5</v>
      </c>
      <c r="W10" s="37">
        <v>1.0</v>
      </c>
      <c r="X10" s="38">
        <v>8.5</v>
      </c>
      <c r="Y10" s="37">
        <v>0.0</v>
      </c>
      <c r="Z10" s="39"/>
      <c r="AA10" s="40"/>
      <c r="AB10" s="39"/>
      <c r="AC10" s="41"/>
      <c r="AD10" s="42"/>
      <c r="AE10" s="40">
        <v>5.0</v>
      </c>
      <c r="AF10" s="43">
        <v>5.0</v>
      </c>
      <c r="AG10" s="44">
        <v>4.25</v>
      </c>
      <c r="AH10" s="43">
        <v>4.58</v>
      </c>
      <c r="AI10" s="43">
        <v>0.0</v>
      </c>
      <c r="AJ10" s="43">
        <v>2.25</v>
      </c>
      <c r="AK10" s="44">
        <v>1.88</v>
      </c>
      <c r="AL10" s="45">
        <v>2.5</v>
      </c>
      <c r="AM10" s="39"/>
      <c r="AN10" s="46">
        <f t="shared" si="3"/>
        <v>1.273</v>
      </c>
      <c r="AO10" s="47">
        <f t="shared" si="4"/>
        <v>3</v>
      </c>
      <c r="AP10" s="48">
        <f>IFERROR(__xludf.DUMMYFUNCTION("AVERAGE(ARRAYFORMULA(LARGE(FILTER(IF(ISNUMBER(I10:AB10), I10:AB10, 0), ISNUMBER(SEARCH(""Exam*"", $I$3:$AB$3))), ROW(INDIRECT(""1:"" &amp; COUNTIF($I$3:$AB$3, ""Exam*"")-1)))))*2"),14.833333333333334)</f>
        <v>14.83333333</v>
      </c>
      <c r="AQ10" s="49">
        <f t="shared" si="5"/>
        <v>19.25</v>
      </c>
    </row>
    <row r="11">
      <c r="A11" s="50">
        <v>8.0</v>
      </c>
      <c r="B11" s="51" t="s">
        <v>66</v>
      </c>
      <c r="C11" s="52" t="s">
        <v>67</v>
      </c>
      <c r="D11" s="52" t="s">
        <v>41</v>
      </c>
      <c r="E11" s="52" t="s">
        <v>68</v>
      </c>
      <c r="F11" s="53" t="s">
        <v>69</v>
      </c>
      <c r="G11" s="35">
        <f t="shared" si="1"/>
        <v>0</v>
      </c>
      <c r="H11" s="36">
        <f t="shared" si="2"/>
        <v>1</v>
      </c>
      <c r="I11" s="37">
        <v>1.0</v>
      </c>
      <c r="J11" s="39"/>
      <c r="K11" s="38">
        <v>1.0</v>
      </c>
      <c r="L11" s="38">
        <v>5.0</v>
      </c>
      <c r="M11" s="37">
        <v>1.0</v>
      </c>
      <c r="N11" s="38">
        <v>10.0</v>
      </c>
      <c r="O11" s="37">
        <v>1.0</v>
      </c>
      <c r="P11" s="39"/>
      <c r="Q11" s="37">
        <v>1.0</v>
      </c>
      <c r="R11" s="38">
        <v>4.5</v>
      </c>
      <c r="S11" s="37">
        <v>1.0</v>
      </c>
      <c r="T11" s="38">
        <v>5.0</v>
      </c>
      <c r="U11" s="37">
        <v>1.0</v>
      </c>
      <c r="V11" s="38">
        <v>4.0</v>
      </c>
      <c r="W11" s="37">
        <v>1.0</v>
      </c>
      <c r="X11" s="38">
        <v>8.0</v>
      </c>
      <c r="Y11" s="37">
        <v>1.0</v>
      </c>
      <c r="Z11" s="39"/>
      <c r="AA11" s="40"/>
      <c r="AB11" s="39"/>
      <c r="AC11" s="41"/>
      <c r="AD11" s="42"/>
      <c r="AE11" s="40">
        <v>5.0</v>
      </c>
      <c r="AF11" s="43">
        <v>4.93</v>
      </c>
      <c r="AG11" s="44">
        <v>0.0</v>
      </c>
      <c r="AH11" s="43">
        <v>3.17</v>
      </c>
      <c r="AI11" s="43">
        <v>2.5</v>
      </c>
      <c r="AJ11" s="43">
        <v>0.75</v>
      </c>
      <c r="AK11" s="44">
        <v>4.31</v>
      </c>
      <c r="AL11" s="45">
        <v>2.5</v>
      </c>
      <c r="AM11" s="39"/>
      <c r="AN11" s="46">
        <f t="shared" si="3"/>
        <v>1.158</v>
      </c>
      <c r="AO11" s="47">
        <f t="shared" si="4"/>
        <v>3</v>
      </c>
      <c r="AP11" s="48">
        <f>IFERROR(__xludf.DUMMYFUNCTION("AVERAGE(ARRAYFORMULA(LARGE(FILTER(IF(ISNUMBER(I11:AB11), I11:AB11, 0), ISNUMBER(SEARCH(""Exam*"", $I$3:$AB$3))), ROW(INDIRECT(""1:"" &amp; COUNTIF($I$3:$AB$3, ""Exam*"")-1)))))*2"),15.0)</f>
        <v>15</v>
      </c>
      <c r="AQ11" s="49">
        <f t="shared" si="5"/>
        <v>19.25</v>
      </c>
    </row>
    <row r="12">
      <c r="A12" s="50">
        <v>9.0</v>
      </c>
      <c r="B12" s="51" t="s">
        <v>70</v>
      </c>
      <c r="C12" s="52" t="s">
        <v>71</v>
      </c>
      <c r="D12" s="52" t="s">
        <v>36</v>
      </c>
      <c r="E12" s="52" t="s">
        <v>72</v>
      </c>
      <c r="F12" s="53" t="s">
        <v>73</v>
      </c>
      <c r="G12" s="35">
        <f t="shared" si="1"/>
        <v>0</v>
      </c>
      <c r="H12" s="36">
        <f t="shared" si="2"/>
        <v>1</v>
      </c>
      <c r="I12" s="37">
        <v>1.0</v>
      </c>
      <c r="J12" s="39"/>
      <c r="K12" s="38">
        <v>1.0</v>
      </c>
      <c r="L12" s="38">
        <v>5.0</v>
      </c>
      <c r="M12" s="37">
        <v>1.0</v>
      </c>
      <c r="N12" s="38">
        <v>10.0</v>
      </c>
      <c r="O12" s="37">
        <v>1.0</v>
      </c>
      <c r="P12" s="39"/>
      <c r="Q12" s="37">
        <v>1.0</v>
      </c>
      <c r="R12" s="38">
        <v>9.5</v>
      </c>
      <c r="S12" s="37">
        <v>1.0</v>
      </c>
      <c r="T12" s="38">
        <v>5.0</v>
      </c>
      <c r="U12" s="37">
        <v>1.0</v>
      </c>
      <c r="V12" s="38">
        <v>9.0</v>
      </c>
      <c r="W12" s="37">
        <v>1.0</v>
      </c>
      <c r="X12" s="38">
        <v>8.0</v>
      </c>
      <c r="Y12" s="37">
        <v>1.0</v>
      </c>
      <c r="Z12" s="39"/>
      <c r="AA12" s="40"/>
      <c r="AB12" s="39"/>
      <c r="AC12" s="41"/>
      <c r="AD12" s="42"/>
      <c r="AE12" s="40">
        <v>4.95</v>
      </c>
      <c r="AF12" s="43">
        <v>5.0</v>
      </c>
      <c r="AG12" s="44">
        <v>5.0</v>
      </c>
      <c r="AH12" s="43">
        <v>4.17</v>
      </c>
      <c r="AI12" s="43">
        <v>5.0</v>
      </c>
      <c r="AJ12" s="43">
        <v>4.85</v>
      </c>
      <c r="AK12" s="44">
        <v>5.0</v>
      </c>
      <c r="AL12" s="45">
        <v>0.0</v>
      </c>
      <c r="AM12" s="39"/>
      <c r="AN12" s="46">
        <f t="shared" si="3"/>
        <v>1.6985</v>
      </c>
      <c r="AO12" s="47">
        <f t="shared" si="4"/>
        <v>3</v>
      </c>
      <c r="AP12" s="48">
        <f>IFERROR(__xludf.DUMMYFUNCTION("AVERAGE(ARRAYFORMULA(LARGE(FILTER(IF(ISNUMBER(I12:AB12), I12:AB12, 0), ISNUMBER(SEARCH(""Exam*"", $I$3:$AB$3))), ROW(INDIRECT(""1:"" &amp; COUNTIF($I$3:$AB$3, ""Exam*"")-1)))))*2"),19.0)</f>
        <v>19</v>
      </c>
      <c r="AQ12" s="49">
        <f t="shared" si="5"/>
        <v>23.75</v>
      </c>
    </row>
    <row r="13">
      <c r="A13" s="50">
        <v>10.0</v>
      </c>
      <c r="B13" s="51" t="s">
        <v>74</v>
      </c>
      <c r="C13" s="52" t="s">
        <v>75</v>
      </c>
      <c r="D13" s="52" t="s">
        <v>36</v>
      </c>
      <c r="E13" s="52" t="s">
        <v>76</v>
      </c>
      <c r="F13" s="53" t="s">
        <v>77</v>
      </c>
      <c r="G13" s="35">
        <f t="shared" si="1"/>
        <v>0</v>
      </c>
      <c r="H13" s="36">
        <f t="shared" si="2"/>
        <v>1</v>
      </c>
      <c r="I13" s="37">
        <v>1.0</v>
      </c>
      <c r="J13" s="39"/>
      <c r="K13" s="38">
        <v>1.0</v>
      </c>
      <c r="L13" s="38">
        <v>5.0</v>
      </c>
      <c r="M13" s="37">
        <v>1.0</v>
      </c>
      <c r="N13" s="38">
        <v>10.0</v>
      </c>
      <c r="O13" s="37">
        <v>1.0</v>
      </c>
      <c r="P13" s="39"/>
      <c r="Q13" s="37">
        <v>1.0</v>
      </c>
      <c r="R13" s="38">
        <v>9.0</v>
      </c>
      <c r="S13" s="37">
        <v>1.0</v>
      </c>
      <c r="T13" s="38">
        <v>5.0</v>
      </c>
      <c r="U13" s="37">
        <v>1.0</v>
      </c>
      <c r="V13" s="38">
        <v>9.5</v>
      </c>
      <c r="W13" s="37">
        <v>1.0</v>
      </c>
      <c r="X13" s="38">
        <v>10.0</v>
      </c>
      <c r="Y13" s="37">
        <v>1.0</v>
      </c>
      <c r="Z13" s="39"/>
      <c r="AA13" s="40"/>
      <c r="AB13" s="39"/>
      <c r="AC13" s="41"/>
      <c r="AD13" s="42"/>
      <c r="AE13" s="40">
        <v>4.7</v>
      </c>
      <c r="AF13" s="43">
        <v>5.0</v>
      </c>
      <c r="AG13" s="44">
        <v>4.75</v>
      </c>
      <c r="AH13" s="43">
        <v>4.75</v>
      </c>
      <c r="AI13" s="43">
        <v>5.0</v>
      </c>
      <c r="AJ13" s="43">
        <v>5.0</v>
      </c>
      <c r="AK13" s="44">
        <v>4.75</v>
      </c>
      <c r="AL13" s="45">
        <v>5.0</v>
      </c>
      <c r="AM13" s="39"/>
      <c r="AN13" s="46">
        <f t="shared" si="3"/>
        <v>1.9475</v>
      </c>
      <c r="AO13" s="47">
        <f t="shared" si="4"/>
        <v>3</v>
      </c>
      <c r="AP13" s="48">
        <f>IFERROR(__xludf.DUMMYFUNCTION("AVERAGE(ARRAYFORMULA(LARGE(FILTER(IF(ISNUMBER(I13:AB13), I13:AB13, 0), ISNUMBER(SEARCH(""Exam*"", $I$3:$AB$3))), ROW(INDIRECT(""1:"" &amp; COUNTIF($I$3:$AB$3, ""Exam*"")-1)))))*2"),19.666666666666668)</f>
        <v>19.66666667</v>
      </c>
      <c r="AQ13" s="49">
        <f t="shared" si="5"/>
        <v>24.75</v>
      </c>
    </row>
    <row r="14">
      <c r="A14" s="50">
        <v>11.0</v>
      </c>
      <c r="B14" s="51" t="s">
        <v>78</v>
      </c>
      <c r="C14" s="52" t="s">
        <v>79</v>
      </c>
      <c r="D14" s="52" t="s">
        <v>41</v>
      </c>
      <c r="E14" s="52" t="s">
        <v>80</v>
      </c>
      <c r="F14" s="53" t="s">
        <v>81</v>
      </c>
      <c r="G14" s="35">
        <f t="shared" si="1"/>
        <v>1</v>
      </c>
      <c r="H14" s="36">
        <f t="shared" si="2"/>
        <v>0.9</v>
      </c>
      <c r="I14" s="37">
        <v>1.0</v>
      </c>
      <c r="J14" s="39"/>
      <c r="K14" s="38">
        <v>1.0</v>
      </c>
      <c r="L14" s="38">
        <v>5.0</v>
      </c>
      <c r="M14" s="37">
        <v>1.0</v>
      </c>
      <c r="N14" s="38">
        <v>10.0</v>
      </c>
      <c r="O14" s="37">
        <v>1.0</v>
      </c>
      <c r="P14" s="39"/>
      <c r="Q14" s="37">
        <v>1.0</v>
      </c>
      <c r="R14" s="38">
        <v>5.0</v>
      </c>
      <c r="S14" s="37">
        <v>1.0</v>
      </c>
      <c r="T14" s="38">
        <v>5.0</v>
      </c>
      <c r="U14" s="37">
        <v>1.0</v>
      </c>
      <c r="V14" s="38">
        <v>8.5</v>
      </c>
      <c r="W14" s="37">
        <v>1.0</v>
      </c>
      <c r="X14" s="38">
        <v>7.0</v>
      </c>
      <c r="Y14" s="37">
        <v>0.0</v>
      </c>
      <c r="Z14" s="39"/>
      <c r="AA14" s="40"/>
      <c r="AB14" s="39"/>
      <c r="AC14" s="41"/>
      <c r="AD14" s="42"/>
      <c r="AE14" s="40">
        <v>2.0</v>
      </c>
      <c r="AF14" s="43">
        <v>5.0</v>
      </c>
      <c r="AG14" s="44">
        <v>1.0</v>
      </c>
      <c r="AH14" s="43">
        <v>0.0</v>
      </c>
      <c r="AI14" s="43">
        <v>0.0</v>
      </c>
      <c r="AJ14" s="43">
        <v>0.0</v>
      </c>
      <c r="AK14" s="44">
        <v>0.0</v>
      </c>
      <c r="AL14" s="45">
        <v>0.0</v>
      </c>
      <c r="AM14" s="39"/>
      <c r="AN14" s="46">
        <f t="shared" si="3"/>
        <v>0.4</v>
      </c>
      <c r="AO14" s="47">
        <f t="shared" si="4"/>
        <v>3</v>
      </c>
      <c r="AP14" s="48">
        <f>IFERROR(__xludf.DUMMYFUNCTION("AVERAGE(ARRAYFORMULA(LARGE(FILTER(IF(ISNUMBER(I14:AB14), I14:AB14, 0), ISNUMBER(SEARCH(""Exam*"", $I$3:$AB$3))), ROW(INDIRECT(""1:"" &amp; COUNTIF($I$3:$AB$3, ""Exam*"")-1)))))*2"),17.0)</f>
        <v>17</v>
      </c>
      <c r="AQ14" s="49">
        <f t="shared" si="5"/>
        <v>20.5</v>
      </c>
    </row>
    <row r="15">
      <c r="A15" s="50">
        <v>12.0</v>
      </c>
      <c r="B15" s="51" t="s">
        <v>82</v>
      </c>
      <c r="C15" s="52" t="s">
        <v>83</v>
      </c>
      <c r="D15" s="52" t="s">
        <v>84</v>
      </c>
      <c r="E15" s="52" t="s">
        <v>85</v>
      </c>
      <c r="F15" s="53" t="s">
        <v>86</v>
      </c>
      <c r="G15" s="35">
        <f t="shared" si="1"/>
        <v>1</v>
      </c>
      <c r="H15" s="36">
        <f t="shared" si="2"/>
        <v>0.9</v>
      </c>
      <c r="I15" s="37">
        <v>1.0</v>
      </c>
      <c r="J15" s="39"/>
      <c r="K15" s="38">
        <v>1.0</v>
      </c>
      <c r="L15" s="38">
        <v>5.0</v>
      </c>
      <c r="M15" s="37">
        <v>1.0</v>
      </c>
      <c r="N15" s="38">
        <v>10.0</v>
      </c>
      <c r="O15" s="37">
        <v>1.0</v>
      </c>
      <c r="P15" s="39"/>
      <c r="Q15" s="37">
        <v>1.0</v>
      </c>
      <c r="R15" s="38">
        <v>9.0</v>
      </c>
      <c r="S15" s="37">
        <v>1.0</v>
      </c>
      <c r="T15" s="38">
        <v>4.5</v>
      </c>
      <c r="U15" s="37">
        <v>1.0</v>
      </c>
      <c r="V15" s="38">
        <v>8.5</v>
      </c>
      <c r="W15" s="37">
        <v>1.0</v>
      </c>
      <c r="X15" s="38">
        <v>8.25</v>
      </c>
      <c r="Y15" s="37">
        <v>0.0</v>
      </c>
      <c r="Z15" s="39"/>
      <c r="AA15" s="40"/>
      <c r="AB15" s="39"/>
      <c r="AC15" s="41"/>
      <c r="AD15" s="42"/>
      <c r="AE15" s="40">
        <v>4.95</v>
      </c>
      <c r="AF15" s="43">
        <v>5.0</v>
      </c>
      <c r="AG15" s="44">
        <v>5.0</v>
      </c>
      <c r="AH15" s="43">
        <v>4.83</v>
      </c>
      <c r="AI15" s="43">
        <v>5.0</v>
      </c>
      <c r="AJ15" s="43">
        <v>4.85</v>
      </c>
      <c r="AK15" s="44">
        <v>4.69</v>
      </c>
      <c r="AL15" s="45">
        <v>5.0</v>
      </c>
      <c r="AM15" s="39"/>
      <c r="AN15" s="46">
        <f t="shared" si="3"/>
        <v>1.966</v>
      </c>
      <c r="AO15" s="47">
        <f t="shared" si="4"/>
        <v>2.85</v>
      </c>
      <c r="AP15" s="48">
        <f>IFERROR(__xludf.DUMMYFUNCTION("AVERAGE(ARRAYFORMULA(LARGE(FILTER(IF(ISNUMBER(I15:AB15), I15:AB15, 0), ISNUMBER(SEARCH(""Exam*"", $I$3:$AB$3))), ROW(INDIRECT(""1:"" &amp; COUNTIF($I$3:$AB$3, ""Exam*"")-1)))))*2"),18.333333333333332)</f>
        <v>18.33333333</v>
      </c>
      <c r="AQ15" s="49">
        <f t="shared" si="5"/>
        <v>23.25</v>
      </c>
    </row>
    <row r="16">
      <c r="A16" s="50">
        <v>13.0</v>
      </c>
      <c r="B16" s="51" t="s">
        <v>87</v>
      </c>
      <c r="C16" s="52" t="s">
        <v>88</v>
      </c>
      <c r="D16" s="52" t="s">
        <v>41</v>
      </c>
      <c r="E16" s="52" t="s">
        <v>89</v>
      </c>
      <c r="F16" s="53" t="s">
        <v>90</v>
      </c>
      <c r="G16" s="35">
        <f t="shared" si="1"/>
        <v>0</v>
      </c>
      <c r="H16" s="36">
        <f t="shared" si="2"/>
        <v>1</v>
      </c>
      <c r="I16" s="37">
        <v>1.0</v>
      </c>
      <c r="J16" s="39"/>
      <c r="K16" s="38">
        <v>1.0</v>
      </c>
      <c r="L16" s="38">
        <v>5.0</v>
      </c>
      <c r="M16" s="37">
        <v>1.0</v>
      </c>
      <c r="N16" s="38">
        <v>7.5</v>
      </c>
      <c r="O16" s="37">
        <v>1.0</v>
      </c>
      <c r="P16" s="39"/>
      <c r="Q16" s="37">
        <v>1.0</v>
      </c>
      <c r="R16" s="38">
        <v>3.5</v>
      </c>
      <c r="S16" s="37">
        <v>1.0</v>
      </c>
      <c r="T16" s="38">
        <v>5.0</v>
      </c>
      <c r="U16" s="37">
        <v>1.0</v>
      </c>
      <c r="V16" s="38">
        <v>2.0</v>
      </c>
      <c r="W16" s="37">
        <v>1.0</v>
      </c>
      <c r="X16" s="38">
        <v>5.75</v>
      </c>
      <c r="Y16" s="37">
        <v>1.0</v>
      </c>
      <c r="Z16" s="39"/>
      <c r="AA16" s="40"/>
      <c r="AB16" s="39"/>
      <c r="AC16" s="41"/>
      <c r="AD16" s="42"/>
      <c r="AE16" s="40">
        <v>4.25</v>
      </c>
      <c r="AF16" s="43">
        <v>5.0</v>
      </c>
      <c r="AG16" s="44">
        <v>4.95</v>
      </c>
      <c r="AH16" s="43">
        <v>1.67</v>
      </c>
      <c r="AI16" s="43">
        <v>5.0</v>
      </c>
      <c r="AJ16" s="43">
        <v>3.225</v>
      </c>
      <c r="AK16" s="44">
        <v>3.5</v>
      </c>
      <c r="AL16" s="45">
        <v>5.0</v>
      </c>
      <c r="AM16" s="39"/>
      <c r="AN16" s="46">
        <f t="shared" si="3"/>
        <v>1.62975</v>
      </c>
      <c r="AO16" s="47">
        <f t="shared" si="4"/>
        <v>3</v>
      </c>
      <c r="AP16" s="48">
        <f>IFERROR(__xludf.DUMMYFUNCTION("AVERAGE(ARRAYFORMULA(LARGE(FILTER(IF(ISNUMBER(I16:AB16), I16:AB16, 0), ISNUMBER(SEARCH(""Exam*"", $I$3:$AB$3))), ROW(INDIRECT(""1:"" &amp; COUNTIF($I$3:$AB$3, ""Exam*"")-1)))))*2"),11.166666666666666)</f>
        <v>11.16666667</v>
      </c>
      <c r="AQ16" s="49">
        <f t="shared" si="5"/>
        <v>16</v>
      </c>
    </row>
    <row r="17">
      <c r="A17" s="50">
        <v>14.0</v>
      </c>
      <c r="B17" s="51" t="s">
        <v>91</v>
      </c>
      <c r="C17" s="52" t="s">
        <v>92</v>
      </c>
      <c r="D17" s="52" t="s">
        <v>84</v>
      </c>
      <c r="E17" s="52" t="s">
        <v>93</v>
      </c>
      <c r="F17" s="53" t="s">
        <v>94</v>
      </c>
      <c r="G17" s="35">
        <f t="shared" si="1"/>
        <v>1</v>
      </c>
      <c r="H17" s="36">
        <f t="shared" si="2"/>
        <v>0.9</v>
      </c>
      <c r="I17" s="37">
        <v>1.0</v>
      </c>
      <c r="J17" s="39"/>
      <c r="K17" s="38">
        <v>1.0</v>
      </c>
      <c r="L17" s="38">
        <v>5.0</v>
      </c>
      <c r="M17" s="37">
        <v>1.0</v>
      </c>
      <c r="N17" s="38">
        <v>6.75</v>
      </c>
      <c r="O17" s="37">
        <v>0.0</v>
      </c>
      <c r="P17" s="39"/>
      <c r="Q17" s="37">
        <v>1.0</v>
      </c>
      <c r="R17" s="38">
        <v>4.0</v>
      </c>
      <c r="S17" s="37">
        <v>1.0</v>
      </c>
      <c r="T17" s="38">
        <v>5.0</v>
      </c>
      <c r="U17" s="37">
        <v>1.0</v>
      </c>
      <c r="V17" s="38">
        <v>4.0</v>
      </c>
      <c r="W17" s="37">
        <v>1.0</v>
      </c>
      <c r="X17" s="38">
        <v>6.5</v>
      </c>
      <c r="Y17" s="54">
        <v>1.0</v>
      </c>
      <c r="Z17" s="39"/>
      <c r="AA17" s="40"/>
      <c r="AB17" s="39"/>
      <c r="AC17" s="41"/>
      <c r="AD17" s="42"/>
      <c r="AE17" s="40">
        <v>4.95</v>
      </c>
      <c r="AF17" s="43">
        <v>1.88</v>
      </c>
      <c r="AG17" s="44">
        <v>0.1</v>
      </c>
      <c r="AH17" s="43">
        <v>5.0</v>
      </c>
      <c r="AI17" s="43">
        <v>5.0</v>
      </c>
      <c r="AJ17" s="43">
        <v>4.5</v>
      </c>
      <c r="AK17" s="44">
        <v>2.94</v>
      </c>
      <c r="AL17" s="45">
        <v>5.0</v>
      </c>
      <c r="AM17" s="39"/>
      <c r="AN17" s="46">
        <f t="shared" si="3"/>
        <v>1.4685</v>
      </c>
      <c r="AO17" s="47">
        <f t="shared" si="4"/>
        <v>3</v>
      </c>
      <c r="AP17" s="48">
        <f>IFERROR(__xludf.DUMMYFUNCTION("AVERAGE(ARRAYFORMULA(LARGE(FILTER(IF(ISNUMBER(I17:AB17), I17:AB17, 0), ISNUMBER(SEARCH(""Exam*"", $I$3:$AB$3))), ROW(INDIRECT(""1:"" &amp; COUNTIF($I$3:$AB$3, ""Exam*"")-1)))))*2"),11.5)</f>
        <v>11.5</v>
      </c>
      <c r="AQ17" s="49">
        <f t="shared" si="5"/>
        <v>16</v>
      </c>
    </row>
    <row r="18">
      <c r="A18" s="50">
        <v>15.0</v>
      </c>
      <c r="B18" s="51" t="s">
        <v>95</v>
      </c>
      <c r="C18" s="52" t="s">
        <v>96</v>
      </c>
      <c r="D18" s="52" t="s">
        <v>97</v>
      </c>
      <c r="E18" s="52" t="s">
        <v>98</v>
      </c>
      <c r="F18" s="53" t="s">
        <v>99</v>
      </c>
      <c r="G18" s="35">
        <f t="shared" si="1"/>
        <v>0</v>
      </c>
      <c r="H18" s="36">
        <f t="shared" si="2"/>
        <v>1</v>
      </c>
      <c r="I18" s="37">
        <v>1.0</v>
      </c>
      <c r="J18" s="39"/>
      <c r="K18" s="38">
        <v>1.0</v>
      </c>
      <c r="L18" s="38">
        <v>5.0</v>
      </c>
      <c r="M18" s="37">
        <v>1.0</v>
      </c>
      <c r="N18" s="38">
        <v>8.0</v>
      </c>
      <c r="O18" s="37">
        <v>1.0</v>
      </c>
      <c r="P18" s="39"/>
      <c r="Q18" s="37">
        <v>1.0</v>
      </c>
      <c r="R18" s="38">
        <v>6.5</v>
      </c>
      <c r="S18" s="37">
        <v>1.0</v>
      </c>
      <c r="T18" s="55">
        <v>5.0</v>
      </c>
      <c r="U18" s="37">
        <v>1.0</v>
      </c>
      <c r="V18" s="38">
        <v>2.5</v>
      </c>
      <c r="W18" s="37">
        <v>1.0</v>
      </c>
      <c r="X18" s="38">
        <v>8.0</v>
      </c>
      <c r="Y18" s="37">
        <v>1.0</v>
      </c>
      <c r="Z18" s="38"/>
      <c r="AA18" s="40"/>
      <c r="AB18" s="39"/>
      <c r="AC18" s="41"/>
      <c r="AD18" s="42"/>
      <c r="AE18" s="40">
        <v>4.75</v>
      </c>
      <c r="AF18" s="43">
        <v>5.0</v>
      </c>
      <c r="AG18" s="44">
        <v>4.7</v>
      </c>
      <c r="AH18" s="43">
        <v>4.0</v>
      </c>
      <c r="AI18" s="43">
        <v>5.0</v>
      </c>
      <c r="AJ18" s="43">
        <v>4.75</v>
      </c>
      <c r="AK18" s="44">
        <v>5.0</v>
      </c>
      <c r="AL18" s="45">
        <v>5.0</v>
      </c>
      <c r="AM18" s="39"/>
      <c r="AN18" s="46">
        <f t="shared" si="3"/>
        <v>1.91</v>
      </c>
      <c r="AO18" s="47">
        <f t="shared" si="4"/>
        <v>3</v>
      </c>
      <c r="AP18" s="48">
        <f>IFERROR(__xludf.DUMMYFUNCTION("AVERAGE(ARRAYFORMULA(LARGE(FILTER(IF(ISNUMBER(I18:AB18), I18:AB18, 0), ISNUMBER(SEARCH(""Exam*"", $I$3:$AB$3))), ROW(INDIRECT(""1:"" &amp; COUNTIF($I$3:$AB$3, ""Exam*"")-1)))))*2"),15.0)</f>
        <v>15</v>
      </c>
      <c r="AQ18" s="49">
        <f t="shared" si="5"/>
        <v>20</v>
      </c>
    </row>
    <row r="19">
      <c r="A19" s="50">
        <v>16.0</v>
      </c>
      <c r="B19" s="51" t="s">
        <v>100</v>
      </c>
      <c r="C19" s="52" t="s">
        <v>101</v>
      </c>
      <c r="D19" s="52" t="s">
        <v>41</v>
      </c>
      <c r="E19" s="52" t="s">
        <v>102</v>
      </c>
      <c r="F19" s="53" t="s">
        <v>103</v>
      </c>
      <c r="G19" s="35">
        <f t="shared" si="1"/>
        <v>0</v>
      </c>
      <c r="H19" s="36">
        <f t="shared" si="2"/>
        <v>1</v>
      </c>
      <c r="I19" s="37">
        <v>0.0</v>
      </c>
      <c r="J19" s="39"/>
      <c r="K19" s="38">
        <v>1.0</v>
      </c>
      <c r="L19" s="38">
        <v>5.0</v>
      </c>
      <c r="M19" s="37">
        <v>1.0</v>
      </c>
      <c r="N19" s="38">
        <v>10.0</v>
      </c>
      <c r="O19" s="37">
        <v>1.0</v>
      </c>
      <c r="P19" s="39"/>
      <c r="Q19" s="37">
        <v>1.0</v>
      </c>
      <c r="R19" s="38">
        <v>4.0</v>
      </c>
      <c r="S19" s="37">
        <v>1.0</v>
      </c>
      <c r="T19" s="38">
        <v>5.0</v>
      </c>
      <c r="U19" s="37">
        <v>1.0</v>
      </c>
      <c r="V19" s="38">
        <v>6.5</v>
      </c>
      <c r="W19" s="37">
        <v>1.0</v>
      </c>
      <c r="X19" s="38">
        <v>7.5</v>
      </c>
      <c r="Y19" s="37">
        <v>1.0</v>
      </c>
      <c r="Z19" s="39"/>
      <c r="AA19" s="40"/>
      <c r="AB19" s="39"/>
      <c r="AC19" s="41"/>
      <c r="AD19" s="42"/>
      <c r="AE19" s="40">
        <v>4.95</v>
      </c>
      <c r="AF19" s="43">
        <v>5.0</v>
      </c>
      <c r="AG19" s="44">
        <v>4.7</v>
      </c>
      <c r="AH19" s="43">
        <v>4.17</v>
      </c>
      <c r="AI19" s="43">
        <v>5.0</v>
      </c>
      <c r="AJ19" s="43">
        <v>5.0</v>
      </c>
      <c r="AK19" s="44">
        <v>5.0</v>
      </c>
      <c r="AL19" s="45">
        <v>5.0</v>
      </c>
      <c r="AM19" s="39"/>
      <c r="AN19" s="46">
        <f t="shared" si="3"/>
        <v>1.941</v>
      </c>
      <c r="AO19" s="47">
        <f t="shared" si="4"/>
        <v>3</v>
      </c>
      <c r="AP19" s="48">
        <f>IFERROR(__xludf.DUMMYFUNCTION("AVERAGE(ARRAYFORMULA(LARGE(FILTER(IF(ISNUMBER(I19:AB19), I19:AB19, 0), ISNUMBER(SEARCH(""Exam*"", $I$3:$AB$3))), ROW(INDIRECT(""1:"" &amp; COUNTIF($I$3:$AB$3, ""Exam*"")-1)))))*2"),16.0)</f>
        <v>16</v>
      </c>
      <c r="AQ19" s="49">
        <f t="shared" si="5"/>
        <v>21</v>
      </c>
    </row>
    <row r="20">
      <c r="A20" s="50">
        <v>17.0</v>
      </c>
      <c r="B20" s="51" t="s">
        <v>104</v>
      </c>
      <c r="C20" s="52" t="s">
        <v>105</v>
      </c>
      <c r="D20" s="52" t="s">
        <v>106</v>
      </c>
      <c r="E20" s="52" t="s">
        <v>107</v>
      </c>
      <c r="F20" s="56">
        <f>+8801893430689</f>
        <v>8801893430689</v>
      </c>
      <c r="G20" s="35">
        <f t="shared" si="1"/>
        <v>1</v>
      </c>
      <c r="H20" s="36">
        <f t="shared" si="2"/>
        <v>0.9</v>
      </c>
      <c r="I20" s="37">
        <v>1.0</v>
      </c>
      <c r="J20" s="39"/>
      <c r="K20" s="38">
        <v>1.0</v>
      </c>
      <c r="L20" s="38">
        <v>5.0</v>
      </c>
      <c r="M20" s="37">
        <v>1.0</v>
      </c>
      <c r="N20" s="38">
        <v>10.0</v>
      </c>
      <c r="O20" s="37">
        <v>1.0</v>
      </c>
      <c r="P20" s="39"/>
      <c r="Q20" s="37">
        <v>1.0</v>
      </c>
      <c r="R20" s="38">
        <v>10.0</v>
      </c>
      <c r="S20" s="37">
        <v>1.0</v>
      </c>
      <c r="T20" s="38">
        <v>5.0</v>
      </c>
      <c r="U20" s="37">
        <v>1.0</v>
      </c>
      <c r="V20" s="38">
        <v>6.0</v>
      </c>
      <c r="W20" s="37">
        <v>1.0</v>
      </c>
      <c r="X20" s="38">
        <v>6.5</v>
      </c>
      <c r="Y20" s="37">
        <v>0.0</v>
      </c>
      <c r="Z20" s="39"/>
      <c r="AA20" s="40"/>
      <c r="AB20" s="39"/>
      <c r="AC20" s="41"/>
      <c r="AD20" s="42"/>
      <c r="AE20" s="40">
        <v>5.0</v>
      </c>
      <c r="AF20" s="43">
        <v>5.0</v>
      </c>
      <c r="AG20" s="44">
        <v>5.0</v>
      </c>
      <c r="AH20" s="43">
        <v>5.0</v>
      </c>
      <c r="AI20" s="43">
        <v>5.0</v>
      </c>
      <c r="AJ20" s="43">
        <v>4.6</v>
      </c>
      <c r="AK20" s="44">
        <v>4.94</v>
      </c>
      <c r="AL20" s="45">
        <v>5.0</v>
      </c>
      <c r="AM20" s="39"/>
      <c r="AN20" s="46">
        <f t="shared" si="3"/>
        <v>1.977</v>
      </c>
      <c r="AO20" s="47">
        <f t="shared" si="4"/>
        <v>3</v>
      </c>
      <c r="AP20" s="48">
        <f>IFERROR(__xludf.DUMMYFUNCTION("AVERAGE(ARRAYFORMULA(LARGE(FILTER(IF(ISNUMBER(I20:AB20), I20:AB20, 0), ISNUMBER(SEARCH(""Exam*"", $I$3:$AB$3))), ROW(INDIRECT(""1:"" &amp; COUNTIF($I$3:$AB$3, ""Exam*"")-1)))))*2"),17.666666666666668)</f>
        <v>17.66666667</v>
      </c>
      <c r="AQ20" s="49">
        <f t="shared" si="5"/>
        <v>22.75</v>
      </c>
    </row>
    <row r="21">
      <c r="A21" s="50">
        <v>18.0</v>
      </c>
      <c r="B21" s="51" t="s">
        <v>108</v>
      </c>
      <c r="C21" s="52" t="s">
        <v>109</v>
      </c>
      <c r="D21" s="52" t="s">
        <v>36</v>
      </c>
      <c r="E21" s="52" t="s">
        <v>110</v>
      </c>
      <c r="F21" s="56">
        <f>+8801971698767</f>
        <v>8801971698767</v>
      </c>
      <c r="G21" s="35">
        <f t="shared" si="1"/>
        <v>1</v>
      </c>
      <c r="H21" s="36">
        <f t="shared" si="2"/>
        <v>0.9</v>
      </c>
      <c r="I21" s="37">
        <v>1.0</v>
      </c>
      <c r="J21" s="39"/>
      <c r="K21" s="38">
        <v>1.0</v>
      </c>
      <c r="L21" s="38">
        <v>5.0</v>
      </c>
      <c r="M21" s="37">
        <v>1.0</v>
      </c>
      <c r="N21" s="38">
        <v>9.0</v>
      </c>
      <c r="O21" s="37">
        <v>1.0</v>
      </c>
      <c r="P21" s="39"/>
      <c r="Q21" s="37">
        <v>1.0</v>
      </c>
      <c r="R21" s="38">
        <v>6.0</v>
      </c>
      <c r="S21" s="37">
        <v>1.0</v>
      </c>
      <c r="T21" s="38">
        <v>5.0</v>
      </c>
      <c r="U21" s="37">
        <v>1.0</v>
      </c>
      <c r="V21" s="38">
        <v>3.0</v>
      </c>
      <c r="W21" s="37">
        <v>1.0</v>
      </c>
      <c r="X21" s="38">
        <v>4.5</v>
      </c>
      <c r="Y21" s="37">
        <v>0.0</v>
      </c>
      <c r="Z21" s="39"/>
      <c r="AA21" s="40"/>
      <c r="AB21" s="39"/>
      <c r="AC21" s="41"/>
      <c r="AD21" s="42"/>
      <c r="AE21" s="40">
        <v>5.0</v>
      </c>
      <c r="AF21" s="43">
        <v>5.0</v>
      </c>
      <c r="AG21" s="44">
        <v>5.0</v>
      </c>
      <c r="AH21" s="43">
        <v>5.0</v>
      </c>
      <c r="AI21" s="43">
        <v>5.0</v>
      </c>
      <c r="AJ21" s="43">
        <v>4.85</v>
      </c>
      <c r="AK21" s="44">
        <v>5.0</v>
      </c>
      <c r="AL21" s="45">
        <v>5.0</v>
      </c>
      <c r="AM21" s="39"/>
      <c r="AN21" s="46">
        <f t="shared" si="3"/>
        <v>1.9925</v>
      </c>
      <c r="AO21" s="47">
        <f t="shared" si="4"/>
        <v>3</v>
      </c>
      <c r="AP21" s="48">
        <f>IFERROR(__xludf.DUMMYFUNCTION("AVERAGE(ARRAYFORMULA(LARGE(FILTER(IF(ISNUMBER(I21:AB21), I21:AB21, 0), ISNUMBER(SEARCH(""Exam*"", $I$3:$AB$3))), ROW(INDIRECT(""1:"" &amp; COUNTIF($I$3:$AB$3, ""Exam*"")-1)))))*2"),13.0)</f>
        <v>13</v>
      </c>
      <c r="AQ21" s="49">
        <f t="shared" si="5"/>
        <v>18</v>
      </c>
    </row>
    <row r="22">
      <c r="A22" s="50">
        <v>19.0</v>
      </c>
      <c r="B22" s="51" t="s">
        <v>111</v>
      </c>
      <c r="C22" s="52" t="s">
        <v>112</v>
      </c>
      <c r="D22" s="52" t="s">
        <v>41</v>
      </c>
      <c r="E22" s="52" t="s">
        <v>113</v>
      </c>
      <c r="F22" s="53" t="s">
        <v>114</v>
      </c>
      <c r="G22" s="35">
        <f t="shared" si="1"/>
        <v>1</v>
      </c>
      <c r="H22" s="36">
        <f t="shared" si="2"/>
        <v>0.9</v>
      </c>
      <c r="I22" s="37">
        <v>1.0</v>
      </c>
      <c r="J22" s="39"/>
      <c r="K22" s="38">
        <v>1.0</v>
      </c>
      <c r="L22" s="38">
        <v>5.0</v>
      </c>
      <c r="M22" s="37">
        <v>1.0</v>
      </c>
      <c r="N22" s="38">
        <v>10.0</v>
      </c>
      <c r="O22" s="37">
        <v>1.0</v>
      </c>
      <c r="P22" s="39"/>
      <c r="Q22" s="37">
        <v>1.0</v>
      </c>
      <c r="R22" s="38">
        <v>8.0</v>
      </c>
      <c r="S22" s="37">
        <v>1.0</v>
      </c>
      <c r="T22" s="38">
        <v>5.0</v>
      </c>
      <c r="U22" s="37">
        <v>1.0</v>
      </c>
      <c r="V22" s="38">
        <v>6.5</v>
      </c>
      <c r="W22" s="37">
        <v>1.0</v>
      </c>
      <c r="X22" s="38">
        <v>7.25</v>
      </c>
      <c r="Y22" s="37">
        <v>0.0</v>
      </c>
      <c r="Z22" s="39"/>
      <c r="AA22" s="40"/>
      <c r="AB22" s="39"/>
      <c r="AC22" s="41"/>
      <c r="AD22" s="42"/>
      <c r="AE22" s="40">
        <v>4.85</v>
      </c>
      <c r="AF22" s="43">
        <v>4.93</v>
      </c>
      <c r="AG22" s="44">
        <v>4.25</v>
      </c>
      <c r="AH22" s="43">
        <v>1.67</v>
      </c>
      <c r="AI22" s="43">
        <v>0.0</v>
      </c>
      <c r="AJ22" s="43">
        <v>2.5</v>
      </c>
      <c r="AK22" s="44">
        <v>4.81</v>
      </c>
      <c r="AL22" s="45">
        <v>2.5</v>
      </c>
      <c r="AM22" s="39"/>
      <c r="AN22" s="46">
        <f t="shared" si="3"/>
        <v>1.2755</v>
      </c>
      <c r="AO22" s="47">
        <f t="shared" si="4"/>
        <v>3</v>
      </c>
      <c r="AP22" s="48">
        <f>IFERROR(__xludf.DUMMYFUNCTION("AVERAGE(ARRAYFORMULA(LARGE(FILTER(IF(ISNUMBER(I22:AB22), I22:AB22, 0), ISNUMBER(SEARCH(""Exam*"", $I$3:$AB$3))), ROW(INDIRECT(""1:"" &amp; COUNTIF($I$3:$AB$3, ""Exam*"")-1)))))*2"),16.833333333333332)</f>
        <v>16.83333333</v>
      </c>
      <c r="AQ22" s="49">
        <f t="shared" si="5"/>
        <v>21.25</v>
      </c>
    </row>
    <row r="23">
      <c r="A23" s="50">
        <v>20.0</v>
      </c>
      <c r="B23" s="51" t="s">
        <v>115</v>
      </c>
      <c r="C23" s="52" t="s">
        <v>116</v>
      </c>
      <c r="D23" s="52" t="s">
        <v>36</v>
      </c>
      <c r="E23" s="52" t="s">
        <v>117</v>
      </c>
      <c r="F23" s="56">
        <f>+8801756726080</f>
        <v>8801756726080</v>
      </c>
      <c r="G23" s="35">
        <f t="shared" si="1"/>
        <v>0</v>
      </c>
      <c r="H23" s="36">
        <f t="shared" si="2"/>
        <v>1</v>
      </c>
      <c r="I23" s="37">
        <v>1.0</v>
      </c>
      <c r="J23" s="39"/>
      <c r="K23" s="38">
        <v>1.0</v>
      </c>
      <c r="L23" s="38">
        <v>5.0</v>
      </c>
      <c r="M23" s="37">
        <v>1.0</v>
      </c>
      <c r="N23" s="38">
        <v>10.0</v>
      </c>
      <c r="O23" s="37">
        <v>1.0</v>
      </c>
      <c r="P23" s="39"/>
      <c r="Q23" s="37">
        <v>1.0</v>
      </c>
      <c r="R23" s="38">
        <v>4.0</v>
      </c>
      <c r="S23" s="37">
        <v>1.0</v>
      </c>
      <c r="T23" s="38">
        <v>5.0</v>
      </c>
      <c r="U23" s="37">
        <v>1.0</v>
      </c>
      <c r="V23" s="38">
        <v>8.5</v>
      </c>
      <c r="W23" s="37">
        <v>1.0</v>
      </c>
      <c r="X23" s="38">
        <v>7.75</v>
      </c>
      <c r="Y23" s="37">
        <v>1.0</v>
      </c>
      <c r="Z23" s="39"/>
      <c r="AA23" s="40"/>
      <c r="AB23" s="39"/>
      <c r="AC23" s="41"/>
      <c r="AD23" s="42"/>
      <c r="AE23" s="40">
        <v>4.95</v>
      </c>
      <c r="AF23" s="43">
        <v>4.93</v>
      </c>
      <c r="AG23" s="44">
        <v>4.0</v>
      </c>
      <c r="AH23" s="43">
        <v>5.0</v>
      </c>
      <c r="AI23" s="43">
        <v>4.4</v>
      </c>
      <c r="AJ23" s="43">
        <v>2.5</v>
      </c>
      <c r="AK23" s="44">
        <v>3.75</v>
      </c>
      <c r="AL23" s="45">
        <v>4.5</v>
      </c>
      <c r="AM23" s="39"/>
      <c r="AN23" s="46">
        <f t="shared" si="3"/>
        <v>1.7015</v>
      </c>
      <c r="AO23" s="47">
        <f t="shared" si="4"/>
        <v>3</v>
      </c>
      <c r="AP23" s="48">
        <f>IFERROR(__xludf.DUMMYFUNCTION("AVERAGE(ARRAYFORMULA(LARGE(FILTER(IF(ISNUMBER(I23:AB23), I23:AB23, 0), ISNUMBER(SEARCH(""Exam*"", $I$3:$AB$3))), ROW(INDIRECT(""1:"" &amp; COUNTIF($I$3:$AB$3, ""Exam*"")-1)))))*2"),17.5)</f>
        <v>17.5</v>
      </c>
      <c r="AQ23" s="49">
        <f t="shared" si="5"/>
        <v>22.25</v>
      </c>
    </row>
    <row r="24">
      <c r="A24" s="50">
        <v>21.0</v>
      </c>
      <c r="B24" s="51" t="s">
        <v>118</v>
      </c>
      <c r="C24" s="52" t="s">
        <v>119</v>
      </c>
      <c r="D24" s="52" t="s">
        <v>36</v>
      </c>
      <c r="E24" s="52" t="s">
        <v>120</v>
      </c>
      <c r="F24" s="56">
        <f>+8801912698108</f>
        <v>8801912698108</v>
      </c>
      <c r="G24" s="35">
        <f t="shared" si="1"/>
        <v>1</v>
      </c>
      <c r="H24" s="36">
        <f t="shared" si="2"/>
        <v>0.9</v>
      </c>
      <c r="I24" s="37">
        <v>1.0</v>
      </c>
      <c r="J24" s="39"/>
      <c r="K24" s="38">
        <v>1.0</v>
      </c>
      <c r="L24" s="38">
        <v>5.0</v>
      </c>
      <c r="M24" s="37">
        <v>1.0</v>
      </c>
      <c r="N24" s="38">
        <v>10.0</v>
      </c>
      <c r="O24" s="37">
        <v>0.0</v>
      </c>
      <c r="P24" s="39"/>
      <c r="Q24" s="37">
        <v>1.0</v>
      </c>
      <c r="R24" s="38">
        <v>9.0</v>
      </c>
      <c r="S24" s="37">
        <v>1.0</v>
      </c>
      <c r="T24" s="38">
        <v>4.75</v>
      </c>
      <c r="U24" s="37">
        <v>1.0</v>
      </c>
      <c r="V24" s="38">
        <v>6.0</v>
      </c>
      <c r="W24" s="37">
        <v>1.0</v>
      </c>
      <c r="X24" s="38">
        <v>10.0</v>
      </c>
      <c r="Y24" s="37">
        <v>1.0</v>
      </c>
      <c r="Z24" s="39"/>
      <c r="AA24" s="40"/>
      <c r="AB24" s="39"/>
      <c r="AC24" s="41"/>
      <c r="AD24" s="42"/>
      <c r="AE24" s="40">
        <v>4.95</v>
      </c>
      <c r="AF24" s="43">
        <v>4.93</v>
      </c>
      <c r="AG24" s="44">
        <v>4.0</v>
      </c>
      <c r="AH24" s="43">
        <v>1.67</v>
      </c>
      <c r="AI24" s="43">
        <v>4.4</v>
      </c>
      <c r="AJ24" s="43">
        <v>4.5</v>
      </c>
      <c r="AK24" s="44">
        <v>4.38</v>
      </c>
      <c r="AL24" s="45">
        <v>2.0</v>
      </c>
      <c r="AM24" s="39"/>
      <c r="AN24" s="46">
        <f t="shared" si="3"/>
        <v>1.5415</v>
      </c>
      <c r="AO24" s="47">
        <f t="shared" si="4"/>
        <v>2.925</v>
      </c>
      <c r="AP24" s="48">
        <f>IFERROR(__xludf.DUMMYFUNCTION("AVERAGE(ARRAYFORMULA(LARGE(FILTER(IF(ISNUMBER(I24:AB24), I24:AB24, 0), ISNUMBER(SEARCH(""Exam*"", $I$3:$AB$3))), ROW(INDIRECT(""1:"" &amp; COUNTIF($I$3:$AB$3, ""Exam*"")-1)))))*2"),19.333333333333332)</f>
        <v>19.33333333</v>
      </c>
      <c r="AQ24" s="49">
        <f t="shared" si="5"/>
        <v>24</v>
      </c>
    </row>
    <row r="25">
      <c r="A25" s="50">
        <v>22.0</v>
      </c>
      <c r="B25" s="51" t="s">
        <v>121</v>
      </c>
      <c r="C25" s="52" t="s">
        <v>122</v>
      </c>
      <c r="D25" s="52" t="s">
        <v>36</v>
      </c>
      <c r="E25" s="52" t="s">
        <v>123</v>
      </c>
      <c r="F25" s="56">
        <f>+8801968806945</f>
        <v>8801968806945</v>
      </c>
      <c r="G25" s="35">
        <f t="shared" si="1"/>
        <v>0</v>
      </c>
      <c r="H25" s="36">
        <f t="shared" si="2"/>
        <v>1</v>
      </c>
      <c r="I25" s="37">
        <v>0.0</v>
      </c>
      <c r="J25" s="39"/>
      <c r="K25" s="38">
        <v>1.0</v>
      </c>
      <c r="L25" s="38">
        <v>5.0</v>
      </c>
      <c r="M25" s="37">
        <v>1.0</v>
      </c>
      <c r="N25" s="38">
        <v>9.75</v>
      </c>
      <c r="O25" s="37">
        <v>1.0</v>
      </c>
      <c r="P25" s="39"/>
      <c r="Q25" s="37">
        <v>1.0</v>
      </c>
      <c r="R25" s="38">
        <v>4.0</v>
      </c>
      <c r="S25" s="37">
        <v>1.0</v>
      </c>
      <c r="T25" s="38">
        <v>5.0</v>
      </c>
      <c r="U25" s="37">
        <v>1.0</v>
      </c>
      <c r="V25" s="38">
        <v>8.0</v>
      </c>
      <c r="W25" s="37">
        <v>1.0</v>
      </c>
      <c r="X25" s="38">
        <v>7.5</v>
      </c>
      <c r="Y25" s="37">
        <v>1.0</v>
      </c>
      <c r="Z25" s="39"/>
      <c r="AA25" s="40"/>
      <c r="AB25" s="39"/>
      <c r="AC25" s="41"/>
      <c r="AD25" s="42"/>
      <c r="AE25" s="40">
        <v>2.5</v>
      </c>
      <c r="AF25" s="43">
        <v>2.5</v>
      </c>
      <c r="AG25" s="44">
        <v>0.0</v>
      </c>
      <c r="AH25" s="43">
        <v>0.0</v>
      </c>
      <c r="AI25" s="43">
        <v>4.4</v>
      </c>
      <c r="AJ25" s="43">
        <v>2.35</v>
      </c>
      <c r="AK25" s="44">
        <v>3.13</v>
      </c>
      <c r="AL25" s="45">
        <v>2.5</v>
      </c>
      <c r="AM25" s="39"/>
      <c r="AN25" s="46">
        <f t="shared" si="3"/>
        <v>0.869</v>
      </c>
      <c r="AO25" s="47">
        <f t="shared" si="4"/>
        <v>3</v>
      </c>
      <c r="AP25" s="48">
        <f>IFERROR(__xludf.DUMMYFUNCTION("AVERAGE(ARRAYFORMULA(LARGE(FILTER(IF(ISNUMBER(I25:AB25), I25:AB25, 0), ISNUMBER(SEARCH(""Exam*"", $I$3:$AB$3))), ROW(INDIRECT(""1:"" &amp; COUNTIF($I$3:$AB$3, ""Exam*"")-1)))))*2"),16.833333333333332)</f>
        <v>16.83333333</v>
      </c>
      <c r="AQ25" s="49">
        <f t="shared" si="5"/>
        <v>20.75</v>
      </c>
    </row>
    <row r="26">
      <c r="A26" s="50">
        <v>23.0</v>
      </c>
      <c r="B26" s="51" t="s">
        <v>124</v>
      </c>
      <c r="C26" s="52" t="s">
        <v>125</v>
      </c>
      <c r="D26" s="52" t="s">
        <v>41</v>
      </c>
      <c r="E26" s="52" t="s">
        <v>126</v>
      </c>
      <c r="F26" s="56">
        <f>+8801883229903</f>
        <v>8801883229903</v>
      </c>
      <c r="G26" s="35">
        <f t="shared" si="1"/>
        <v>0</v>
      </c>
      <c r="H26" s="36">
        <f t="shared" si="2"/>
        <v>1</v>
      </c>
      <c r="I26" s="37">
        <v>1.0</v>
      </c>
      <c r="J26" s="39"/>
      <c r="K26" s="38">
        <v>1.0</v>
      </c>
      <c r="L26" s="38">
        <v>2.0</v>
      </c>
      <c r="M26" s="37">
        <v>1.0</v>
      </c>
      <c r="N26" s="38">
        <v>9.0</v>
      </c>
      <c r="O26" s="37">
        <v>1.0</v>
      </c>
      <c r="P26" s="39"/>
      <c r="Q26" s="37">
        <v>1.0</v>
      </c>
      <c r="R26" s="38">
        <v>4.5</v>
      </c>
      <c r="S26" s="37">
        <v>1.0</v>
      </c>
      <c r="T26" s="38">
        <v>5.0</v>
      </c>
      <c r="U26" s="37">
        <v>1.0</v>
      </c>
      <c r="V26" s="38">
        <v>6.0</v>
      </c>
      <c r="W26" s="37">
        <v>1.0</v>
      </c>
      <c r="X26" s="38">
        <v>8.0</v>
      </c>
      <c r="Y26" s="37">
        <v>1.0</v>
      </c>
      <c r="Z26" s="39"/>
      <c r="AA26" s="40"/>
      <c r="AB26" s="39"/>
      <c r="AC26" s="41"/>
      <c r="AD26" s="42"/>
      <c r="AE26" s="40">
        <v>3.75</v>
      </c>
      <c r="AF26" s="43">
        <v>4.5</v>
      </c>
      <c r="AG26" s="44">
        <v>1.0</v>
      </c>
      <c r="AH26" s="43">
        <v>3.75</v>
      </c>
      <c r="AI26" s="43">
        <v>0.0</v>
      </c>
      <c r="AJ26" s="43">
        <v>0.0</v>
      </c>
      <c r="AK26" s="44">
        <v>1.25</v>
      </c>
      <c r="AL26" s="45">
        <v>1.5</v>
      </c>
      <c r="AM26" s="39"/>
      <c r="AN26" s="46">
        <f t="shared" si="3"/>
        <v>0.7875</v>
      </c>
      <c r="AO26" s="47">
        <f t="shared" si="4"/>
        <v>2.1</v>
      </c>
      <c r="AP26" s="48">
        <f>IFERROR(__xludf.DUMMYFUNCTION("AVERAGE(ARRAYFORMULA(LARGE(FILTER(IF(ISNUMBER(I26:AB26), I26:AB26, 0), ISNUMBER(SEARCH(""Exam*"", $I$3:$AB$3))), ROW(INDIRECT(""1:"" &amp; COUNTIF($I$3:$AB$3, ""Exam*"")-1)))))*2"),15.333333333333334)</f>
        <v>15.33333333</v>
      </c>
      <c r="AQ26" s="49">
        <f t="shared" si="5"/>
        <v>18.25</v>
      </c>
    </row>
    <row r="27">
      <c r="A27" s="57">
        <v>24.0</v>
      </c>
      <c r="B27" s="58" t="s">
        <v>127</v>
      </c>
      <c r="C27" s="59" t="s">
        <v>128</v>
      </c>
      <c r="D27" s="52" t="s">
        <v>41</v>
      </c>
      <c r="E27" s="52" t="s">
        <v>129</v>
      </c>
      <c r="F27" s="56">
        <f>+8801787608084</f>
        <v>8801787608084</v>
      </c>
      <c r="G27" s="60">
        <f t="shared" si="1"/>
        <v>4</v>
      </c>
      <c r="H27" s="61">
        <f t="shared" si="2"/>
        <v>0.5</v>
      </c>
      <c r="I27" s="62">
        <v>1.0</v>
      </c>
      <c r="J27" s="63"/>
      <c r="K27" s="64">
        <v>1.0</v>
      </c>
      <c r="L27" s="64">
        <v>4.5</v>
      </c>
      <c r="M27" s="62">
        <v>1.0</v>
      </c>
      <c r="N27" s="64">
        <v>7.5</v>
      </c>
      <c r="O27" s="62">
        <v>0.0</v>
      </c>
      <c r="P27" s="63"/>
      <c r="Q27" s="62">
        <v>1.0</v>
      </c>
      <c r="R27" s="64">
        <v>4.0</v>
      </c>
      <c r="S27" s="62">
        <v>0.0</v>
      </c>
      <c r="T27" s="64">
        <v>0.0</v>
      </c>
      <c r="U27" s="62">
        <v>0.0</v>
      </c>
      <c r="V27" s="63"/>
      <c r="W27" s="62">
        <v>0.0</v>
      </c>
      <c r="X27" s="63"/>
      <c r="Y27" s="65"/>
      <c r="Z27" s="63"/>
      <c r="AA27" s="65"/>
      <c r="AB27" s="63"/>
      <c r="AC27" s="66"/>
      <c r="AD27" s="67"/>
      <c r="AE27" s="65">
        <v>1.5</v>
      </c>
      <c r="AF27" s="68">
        <v>0.0</v>
      </c>
      <c r="AG27" s="69">
        <v>0.0</v>
      </c>
      <c r="AH27" s="68">
        <v>0.0</v>
      </c>
      <c r="AI27" s="68">
        <v>0.0</v>
      </c>
      <c r="AJ27" s="68">
        <v>0.0</v>
      </c>
      <c r="AK27" s="69">
        <v>0.0</v>
      </c>
      <c r="AL27" s="70" t="str">
        <f>'Assignment Marks'!AG26</f>
        <v/>
      </c>
      <c r="AM27" s="39"/>
      <c r="AN27" s="71">
        <v>0.0</v>
      </c>
      <c r="AO27" s="72">
        <v>0.0</v>
      </c>
      <c r="AP27" s="73">
        <v>0.0</v>
      </c>
      <c r="AQ27" s="74">
        <v>0.0</v>
      </c>
    </row>
    <row r="28">
      <c r="A28" s="50">
        <v>25.0</v>
      </c>
      <c r="B28" s="51" t="s">
        <v>130</v>
      </c>
      <c r="C28" s="52" t="s">
        <v>131</v>
      </c>
      <c r="D28" s="52" t="s">
        <v>41</v>
      </c>
      <c r="E28" s="52" t="s">
        <v>132</v>
      </c>
      <c r="F28" s="56">
        <f>+8801913142966</f>
        <v>8801913142966</v>
      </c>
      <c r="G28" s="35">
        <f t="shared" si="1"/>
        <v>0</v>
      </c>
      <c r="H28" s="36">
        <f t="shared" si="2"/>
        <v>1</v>
      </c>
      <c r="I28" s="37">
        <v>1.0</v>
      </c>
      <c r="J28" s="39"/>
      <c r="K28" s="38">
        <v>1.0</v>
      </c>
      <c r="L28" s="38">
        <v>4.5</v>
      </c>
      <c r="M28" s="37">
        <v>1.0</v>
      </c>
      <c r="N28" s="38">
        <v>7.0</v>
      </c>
      <c r="O28" s="37">
        <v>1.0</v>
      </c>
      <c r="P28" s="39"/>
      <c r="Q28" s="37">
        <v>1.0</v>
      </c>
      <c r="R28" s="38">
        <v>8.5</v>
      </c>
      <c r="S28" s="37">
        <v>1.0</v>
      </c>
      <c r="T28" s="38">
        <v>5.0</v>
      </c>
      <c r="U28" s="37">
        <v>1.0</v>
      </c>
      <c r="V28" s="38">
        <v>5.0</v>
      </c>
      <c r="W28" s="37">
        <v>1.0</v>
      </c>
      <c r="X28" s="38">
        <v>8.0</v>
      </c>
      <c r="Y28" s="37">
        <v>1.0</v>
      </c>
      <c r="Z28" s="39"/>
      <c r="AA28" s="40"/>
      <c r="AB28" s="39"/>
      <c r="AC28" s="41"/>
      <c r="AD28" s="42"/>
      <c r="AE28" s="40">
        <v>4.35</v>
      </c>
      <c r="AF28" s="43">
        <v>4.93</v>
      </c>
      <c r="AG28" s="44">
        <v>4.83</v>
      </c>
      <c r="AH28" s="43">
        <v>5.0</v>
      </c>
      <c r="AI28" s="43">
        <v>5.0</v>
      </c>
      <c r="AJ28" s="43">
        <v>4.7</v>
      </c>
      <c r="AK28" s="44">
        <v>5.0</v>
      </c>
      <c r="AL28" s="45">
        <v>2.5</v>
      </c>
      <c r="AM28" s="39"/>
      <c r="AN28" s="46">
        <f t="shared" ref="AN28:AN42" si="6">(SUMIF($AE$3:$AM$3, "Lab*", AE28:AM28) / COUNTIF($AE$3:$AM$3, "Lab*"))*2/5</f>
        <v>1.8155</v>
      </c>
      <c r="AO28" s="47">
        <f t="shared" ref="AO28:AO42" si="7">(SUMIF($I$3:$AB$3, "Evaluation*", I28:AB28) / COUNTIF($I$3:$AB$3, "Evaluation*"))*3/5</f>
        <v>2.85</v>
      </c>
      <c r="AP28" s="48">
        <f>IFERROR(__xludf.DUMMYFUNCTION("AVERAGE(ARRAYFORMULA(LARGE(FILTER(IF(ISNUMBER(I28:AB28), I28:AB28, 0), ISNUMBER(SEARCH(""Exam*"", $I$3:$AB$3))), ROW(INDIRECT(""1:"" &amp; COUNTIF($I$3:$AB$3, ""Exam*"")-1)))))*2"),15.666666666666666)</f>
        <v>15.66666667</v>
      </c>
      <c r="AQ28" s="49">
        <f t="shared" ref="AQ28:AQ42" si="8">CEILING(SUM(AN28:AP28),0.25)</f>
        <v>20.5</v>
      </c>
    </row>
    <row r="29">
      <c r="A29" s="50">
        <v>26.0</v>
      </c>
      <c r="B29" s="51" t="s">
        <v>133</v>
      </c>
      <c r="C29" s="52" t="s">
        <v>134</v>
      </c>
      <c r="D29" s="52" t="s">
        <v>41</v>
      </c>
      <c r="E29" s="52" t="s">
        <v>135</v>
      </c>
      <c r="F29" s="56">
        <f>+8801828308537</f>
        <v>8801828308537</v>
      </c>
      <c r="G29" s="35">
        <f t="shared" si="1"/>
        <v>0</v>
      </c>
      <c r="H29" s="36">
        <f t="shared" si="2"/>
        <v>1</v>
      </c>
      <c r="I29" s="37">
        <v>1.0</v>
      </c>
      <c r="J29" s="39"/>
      <c r="K29" s="38">
        <v>1.0</v>
      </c>
      <c r="L29" s="38">
        <v>5.0</v>
      </c>
      <c r="M29" s="37">
        <v>1.0</v>
      </c>
      <c r="N29" s="39"/>
      <c r="O29" s="37">
        <v>1.0</v>
      </c>
      <c r="P29" s="39"/>
      <c r="Q29" s="37">
        <v>1.0</v>
      </c>
      <c r="R29" s="38">
        <v>9.0</v>
      </c>
      <c r="S29" s="37">
        <v>1.0</v>
      </c>
      <c r="T29" s="38">
        <v>5.0</v>
      </c>
      <c r="U29" s="37">
        <v>1.0</v>
      </c>
      <c r="V29" s="38">
        <v>2.0</v>
      </c>
      <c r="W29" s="37">
        <v>1.0</v>
      </c>
      <c r="X29" s="38">
        <v>5.5</v>
      </c>
      <c r="Y29" s="37">
        <v>1.0</v>
      </c>
      <c r="Z29" s="39"/>
      <c r="AA29" s="40"/>
      <c r="AB29" s="39"/>
      <c r="AC29" s="41"/>
      <c r="AD29" s="42"/>
      <c r="AE29" s="40">
        <v>4.7</v>
      </c>
      <c r="AF29" s="43">
        <v>4.63</v>
      </c>
      <c r="AG29" s="44">
        <v>0.95</v>
      </c>
      <c r="AH29" s="43">
        <v>1.67</v>
      </c>
      <c r="AI29" s="43">
        <v>3.8</v>
      </c>
      <c r="AJ29" s="43">
        <v>4.7</v>
      </c>
      <c r="AK29" s="44">
        <v>5.0</v>
      </c>
      <c r="AL29" s="45">
        <v>2.0</v>
      </c>
      <c r="AM29" s="39"/>
      <c r="AN29" s="46">
        <f t="shared" si="6"/>
        <v>1.3725</v>
      </c>
      <c r="AO29" s="47">
        <f t="shared" si="7"/>
        <v>3</v>
      </c>
      <c r="AP29" s="48">
        <f>IFERROR(__xludf.DUMMYFUNCTION("AVERAGE(ARRAYFORMULA(LARGE(FILTER(IF(ISNUMBER(I29:AB29), I29:AB29, 0), ISNUMBER(SEARCH(""Exam*"", $I$3:$AB$3))), ROW(INDIRECT(""1:"" &amp; COUNTIF($I$3:$AB$3, ""Exam*"")-1)))))*2"),11.0)</f>
        <v>11</v>
      </c>
      <c r="AQ29" s="49">
        <f t="shared" si="8"/>
        <v>15.5</v>
      </c>
    </row>
    <row r="30">
      <c r="A30" s="50">
        <v>27.0</v>
      </c>
      <c r="B30" s="51" t="s">
        <v>136</v>
      </c>
      <c r="C30" s="52" t="s">
        <v>137</v>
      </c>
      <c r="D30" s="52" t="s">
        <v>36</v>
      </c>
      <c r="E30" s="52" t="s">
        <v>138</v>
      </c>
      <c r="F30" s="56">
        <f>+8801932833186</f>
        <v>8801932833186</v>
      </c>
      <c r="G30" s="35">
        <f t="shared" si="1"/>
        <v>0</v>
      </c>
      <c r="H30" s="36">
        <f t="shared" si="2"/>
        <v>1</v>
      </c>
      <c r="I30" s="37">
        <v>1.0</v>
      </c>
      <c r="J30" s="39"/>
      <c r="K30" s="38">
        <v>1.0</v>
      </c>
      <c r="L30" s="38">
        <v>5.0</v>
      </c>
      <c r="M30" s="37">
        <v>1.0</v>
      </c>
      <c r="N30" s="38">
        <v>10.0</v>
      </c>
      <c r="O30" s="37">
        <v>1.0</v>
      </c>
      <c r="P30" s="39"/>
      <c r="Q30" s="37">
        <v>1.0</v>
      </c>
      <c r="R30" s="38">
        <v>9.5</v>
      </c>
      <c r="S30" s="37">
        <v>1.0</v>
      </c>
      <c r="T30" s="38">
        <v>5.0</v>
      </c>
      <c r="U30" s="37">
        <v>1.0</v>
      </c>
      <c r="V30" s="38">
        <v>8.5</v>
      </c>
      <c r="W30" s="37">
        <v>1.0</v>
      </c>
      <c r="X30" s="38">
        <v>8.25</v>
      </c>
      <c r="Y30" s="37">
        <v>1.0</v>
      </c>
      <c r="Z30" s="39"/>
      <c r="AA30" s="40"/>
      <c r="AB30" s="39"/>
      <c r="AC30" s="41"/>
      <c r="AD30" s="42"/>
      <c r="AE30" s="40">
        <v>5.0</v>
      </c>
      <c r="AF30" s="43">
        <v>5.0</v>
      </c>
      <c r="AG30" s="44">
        <v>5.0</v>
      </c>
      <c r="AH30" s="43">
        <v>5.0</v>
      </c>
      <c r="AI30" s="43">
        <v>5.0</v>
      </c>
      <c r="AJ30" s="43">
        <v>5.0</v>
      </c>
      <c r="AK30" s="44">
        <v>5.0</v>
      </c>
      <c r="AL30" s="45">
        <v>5.0</v>
      </c>
      <c r="AM30" s="39"/>
      <c r="AN30" s="46">
        <f t="shared" si="6"/>
        <v>2</v>
      </c>
      <c r="AO30" s="47">
        <f t="shared" si="7"/>
        <v>3</v>
      </c>
      <c r="AP30" s="48">
        <f>IFERROR(__xludf.DUMMYFUNCTION("AVERAGE(ARRAYFORMULA(LARGE(FILTER(IF(ISNUMBER(I30:AB30), I30:AB30, 0), ISNUMBER(SEARCH(""Exam*"", $I$3:$AB$3))), ROW(INDIRECT(""1:"" &amp; COUNTIF($I$3:$AB$3, ""Exam*"")-1)))))*2"),18.666666666666668)</f>
        <v>18.66666667</v>
      </c>
      <c r="AQ30" s="49">
        <f t="shared" si="8"/>
        <v>23.75</v>
      </c>
    </row>
    <row r="31">
      <c r="A31" s="50">
        <v>28.0</v>
      </c>
      <c r="B31" s="51" t="s">
        <v>139</v>
      </c>
      <c r="C31" s="75" t="s">
        <v>140</v>
      </c>
      <c r="D31" s="52" t="s">
        <v>36</v>
      </c>
      <c r="E31" s="52" t="s">
        <v>141</v>
      </c>
      <c r="F31" s="56">
        <f>+8801889238779</f>
        <v>8801889238779</v>
      </c>
      <c r="G31" s="35">
        <f t="shared" si="1"/>
        <v>1</v>
      </c>
      <c r="H31" s="36">
        <f t="shared" si="2"/>
        <v>0.9</v>
      </c>
      <c r="I31" s="37">
        <v>1.0</v>
      </c>
      <c r="J31" s="39"/>
      <c r="K31" s="76">
        <v>1.0</v>
      </c>
      <c r="L31" s="38">
        <v>0.0</v>
      </c>
      <c r="M31" s="37"/>
      <c r="N31" s="39"/>
      <c r="O31" s="37">
        <v>1.0</v>
      </c>
      <c r="P31" s="39"/>
      <c r="Q31" s="37">
        <v>1.0</v>
      </c>
      <c r="R31" s="38">
        <v>4.0</v>
      </c>
      <c r="S31" s="37">
        <v>1.0</v>
      </c>
      <c r="T31" s="38">
        <v>3.0</v>
      </c>
      <c r="U31" s="37">
        <v>1.0</v>
      </c>
      <c r="V31" s="38">
        <v>4.5</v>
      </c>
      <c r="W31" s="37">
        <v>1.0</v>
      </c>
      <c r="X31" s="38">
        <v>4.0</v>
      </c>
      <c r="Y31" s="37">
        <v>0.0</v>
      </c>
      <c r="Z31" s="39"/>
      <c r="AA31" s="40"/>
      <c r="AB31" s="39"/>
      <c r="AC31" s="41"/>
      <c r="AD31" s="42"/>
      <c r="AE31" s="37">
        <v>5.0</v>
      </c>
      <c r="AF31" s="43">
        <v>5.0</v>
      </c>
      <c r="AG31" s="44">
        <v>4.5</v>
      </c>
      <c r="AH31" s="43">
        <v>3.33</v>
      </c>
      <c r="AI31" s="43">
        <v>0.0</v>
      </c>
      <c r="AJ31" s="43">
        <v>0.0</v>
      </c>
      <c r="AK31" s="44">
        <v>0.0</v>
      </c>
      <c r="AL31" s="45">
        <v>0.0</v>
      </c>
      <c r="AM31" s="39"/>
      <c r="AN31" s="46">
        <f t="shared" si="6"/>
        <v>0.8915</v>
      </c>
      <c r="AO31" s="47">
        <f t="shared" si="7"/>
        <v>0.9</v>
      </c>
      <c r="AP31" s="48">
        <f>IFERROR(__xludf.DUMMYFUNCTION("AVERAGE(ARRAYFORMULA(LARGE(FILTER(IF(ISNUMBER(I31:AB31), I31:AB31, 0), ISNUMBER(SEARCH(""Exam*"", $I$3:$AB$3))), ROW(INDIRECT(""1:"" &amp; COUNTIF($I$3:$AB$3, ""Exam*"")-1)))))*2"),8.333333333333334)</f>
        <v>8.333333333</v>
      </c>
      <c r="AQ31" s="49">
        <f t="shared" si="8"/>
        <v>10.25</v>
      </c>
    </row>
    <row r="32">
      <c r="A32" s="50">
        <v>29.0</v>
      </c>
      <c r="B32" s="51" t="s">
        <v>142</v>
      </c>
      <c r="C32" s="52" t="s">
        <v>143</v>
      </c>
      <c r="D32" s="52" t="s">
        <v>36</v>
      </c>
      <c r="E32" s="52" t="s">
        <v>144</v>
      </c>
      <c r="F32" s="56">
        <f>+8801972583107</f>
        <v>8801972583107</v>
      </c>
      <c r="G32" s="35">
        <f t="shared" si="1"/>
        <v>0</v>
      </c>
      <c r="H32" s="36">
        <f t="shared" si="2"/>
        <v>1</v>
      </c>
      <c r="I32" s="37">
        <v>1.0</v>
      </c>
      <c r="J32" s="39"/>
      <c r="K32" s="38">
        <v>1.0</v>
      </c>
      <c r="L32" s="38">
        <v>5.0</v>
      </c>
      <c r="M32" s="37">
        <v>1.0</v>
      </c>
      <c r="N32" s="38">
        <v>10.0</v>
      </c>
      <c r="O32" s="37">
        <v>1.0</v>
      </c>
      <c r="P32" s="39"/>
      <c r="Q32" s="37">
        <v>1.0</v>
      </c>
      <c r="R32" s="38">
        <v>10.0</v>
      </c>
      <c r="S32" s="37">
        <v>1.0</v>
      </c>
      <c r="T32" s="38">
        <v>5.0</v>
      </c>
      <c r="U32" s="37">
        <v>1.0</v>
      </c>
      <c r="V32" s="38">
        <v>10.0</v>
      </c>
      <c r="W32" s="37">
        <v>1.0</v>
      </c>
      <c r="X32" s="38">
        <v>8.25</v>
      </c>
      <c r="Y32" s="37">
        <v>1.0</v>
      </c>
      <c r="Z32" s="39"/>
      <c r="AA32" s="40"/>
      <c r="AB32" s="39"/>
      <c r="AC32" s="41"/>
      <c r="AD32" s="42"/>
      <c r="AE32" s="40">
        <v>5.0</v>
      </c>
      <c r="AF32" s="43">
        <v>5.0</v>
      </c>
      <c r="AG32" s="44">
        <v>5.0</v>
      </c>
      <c r="AH32" s="43">
        <v>5.0</v>
      </c>
      <c r="AI32" s="43">
        <v>5.0</v>
      </c>
      <c r="AJ32" s="43">
        <v>4.85</v>
      </c>
      <c r="AK32" s="44">
        <v>5.0</v>
      </c>
      <c r="AL32" s="45">
        <v>5.0</v>
      </c>
      <c r="AM32" s="39"/>
      <c r="AN32" s="46">
        <f t="shared" si="6"/>
        <v>1.9925</v>
      </c>
      <c r="AO32" s="47">
        <f t="shared" si="7"/>
        <v>3</v>
      </c>
      <c r="AP32" s="48">
        <f>IFERROR(__xludf.DUMMYFUNCTION("AVERAGE(ARRAYFORMULA(LARGE(FILTER(IF(ISNUMBER(I32:AB32), I32:AB32, 0), ISNUMBER(SEARCH(""Exam*"", $I$3:$AB$3))), ROW(INDIRECT(""1:"" &amp; COUNTIF($I$3:$AB$3, ""Exam*"")-1)))))*2"),20.0)</f>
        <v>20</v>
      </c>
      <c r="AQ32" s="49">
        <f t="shared" si="8"/>
        <v>25</v>
      </c>
    </row>
    <row r="33">
      <c r="A33" s="50">
        <v>30.0</v>
      </c>
      <c r="B33" s="51" t="s">
        <v>145</v>
      </c>
      <c r="C33" s="52" t="s">
        <v>146</v>
      </c>
      <c r="D33" s="52" t="s">
        <v>147</v>
      </c>
      <c r="E33" s="52" t="s">
        <v>148</v>
      </c>
      <c r="F33" s="56">
        <f>+8801749283768</f>
        <v>8801749283768</v>
      </c>
      <c r="G33" s="35">
        <f t="shared" si="1"/>
        <v>0</v>
      </c>
      <c r="H33" s="36">
        <f t="shared" si="2"/>
        <v>1</v>
      </c>
      <c r="I33" s="37">
        <v>1.0</v>
      </c>
      <c r="J33" s="39"/>
      <c r="K33" s="38">
        <v>1.0</v>
      </c>
      <c r="L33" s="38">
        <v>5.0</v>
      </c>
      <c r="M33" s="37">
        <v>1.0</v>
      </c>
      <c r="N33" s="38">
        <v>9.75</v>
      </c>
      <c r="O33" s="37">
        <v>1.0</v>
      </c>
      <c r="P33" s="39"/>
      <c r="Q33" s="37">
        <v>1.0</v>
      </c>
      <c r="R33" s="38">
        <v>8.5</v>
      </c>
      <c r="S33" s="37">
        <v>1.0</v>
      </c>
      <c r="T33" s="38">
        <v>4.5</v>
      </c>
      <c r="U33" s="37">
        <v>1.0</v>
      </c>
      <c r="V33" s="38">
        <v>6.5</v>
      </c>
      <c r="W33" s="37">
        <v>1.0</v>
      </c>
      <c r="X33" s="38">
        <v>9.5</v>
      </c>
      <c r="Y33" s="37">
        <v>1.0</v>
      </c>
      <c r="Z33" s="39"/>
      <c r="AA33" s="40"/>
      <c r="AB33" s="39"/>
      <c r="AC33" s="41"/>
      <c r="AD33" s="42"/>
      <c r="AE33" s="40">
        <v>2.5</v>
      </c>
      <c r="AF33" s="43">
        <v>4.88</v>
      </c>
      <c r="AG33" s="44">
        <v>5.0</v>
      </c>
      <c r="AH33" s="43">
        <v>5.0</v>
      </c>
      <c r="AI33" s="43">
        <v>5.0</v>
      </c>
      <c r="AJ33" s="43">
        <v>2.15</v>
      </c>
      <c r="AK33" s="44">
        <v>2.5</v>
      </c>
      <c r="AL33" s="45">
        <v>0.0</v>
      </c>
      <c r="AM33" s="39"/>
      <c r="AN33" s="46">
        <f t="shared" si="6"/>
        <v>1.3515</v>
      </c>
      <c r="AO33" s="47">
        <f t="shared" si="7"/>
        <v>2.85</v>
      </c>
      <c r="AP33" s="48">
        <f>IFERROR(__xludf.DUMMYFUNCTION("AVERAGE(ARRAYFORMULA(LARGE(FILTER(IF(ISNUMBER(I33:AB33), I33:AB33, 0), ISNUMBER(SEARCH(""Exam*"", $I$3:$AB$3))), ROW(INDIRECT(""1:"" &amp; COUNTIF($I$3:$AB$3, ""Exam*"")-1)))))*2"),18.5)</f>
        <v>18.5</v>
      </c>
      <c r="AQ33" s="49">
        <f t="shared" si="8"/>
        <v>22.75</v>
      </c>
    </row>
    <row r="34">
      <c r="A34" s="50">
        <v>31.0</v>
      </c>
      <c r="B34" s="51" t="s">
        <v>149</v>
      </c>
      <c r="C34" s="77" t="s">
        <v>150</v>
      </c>
      <c r="D34" s="77" t="s">
        <v>36</v>
      </c>
      <c r="E34" s="77" t="s">
        <v>151</v>
      </c>
      <c r="F34" s="78">
        <f>+8801763400783</f>
        <v>8801763400783</v>
      </c>
      <c r="G34" s="35">
        <f t="shared" si="1"/>
        <v>1</v>
      </c>
      <c r="H34" s="36">
        <f t="shared" si="2"/>
        <v>0.9</v>
      </c>
      <c r="I34" s="37">
        <v>0.0</v>
      </c>
      <c r="J34" s="39"/>
      <c r="K34" s="38">
        <v>0.0</v>
      </c>
      <c r="L34" s="38">
        <v>0.0</v>
      </c>
      <c r="M34" s="37">
        <v>1.0</v>
      </c>
      <c r="N34" s="38">
        <v>9.0</v>
      </c>
      <c r="O34" s="37">
        <v>1.0</v>
      </c>
      <c r="P34" s="39"/>
      <c r="Q34" s="37">
        <v>1.0</v>
      </c>
      <c r="R34" s="38">
        <v>7.5</v>
      </c>
      <c r="S34" s="37">
        <v>1.0</v>
      </c>
      <c r="T34" s="38">
        <v>5.0</v>
      </c>
      <c r="U34" s="37">
        <v>1.0</v>
      </c>
      <c r="V34" s="38">
        <v>5.5</v>
      </c>
      <c r="W34" s="37">
        <v>1.0</v>
      </c>
      <c r="X34" s="38">
        <v>6.5</v>
      </c>
      <c r="Y34" s="37">
        <v>1.0</v>
      </c>
      <c r="Z34" s="39"/>
      <c r="AA34" s="40"/>
      <c r="AB34" s="39"/>
      <c r="AC34" s="41"/>
      <c r="AD34" s="42"/>
      <c r="AE34" s="40">
        <v>0.0</v>
      </c>
      <c r="AF34" s="43">
        <v>3.75</v>
      </c>
      <c r="AG34" s="44">
        <v>3.5</v>
      </c>
      <c r="AH34" s="43">
        <v>4.83</v>
      </c>
      <c r="AI34" s="43">
        <v>0.8</v>
      </c>
      <c r="AJ34" s="43">
        <v>4.0</v>
      </c>
      <c r="AK34" s="44">
        <v>3.69</v>
      </c>
      <c r="AL34" s="45">
        <v>2.0</v>
      </c>
      <c r="AM34" s="39"/>
      <c r="AN34" s="46">
        <f t="shared" si="6"/>
        <v>1.1285</v>
      </c>
      <c r="AO34" s="47">
        <f t="shared" si="7"/>
        <v>1.5</v>
      </c>
      <c r="AP34" s="48">
        <f>IFERROR(__xludf.DUMMYFUNCTION("AVERAGE(ARRAYFORMULA(LARGE(FILTER(IF(ISNUMBER(I34:AB34), I34:AB34, 0), ISNUMBER(SEARCH(""Exam*"", $I$3:$AB$3))), ROW(INDIRECT(""1:"" &amp; COUNTIF($I$3:$AB$3, ""Exam*"")-1)))))*2"),15.333333333333334)</f>
        <v>15.33333333</v>
      </c>
      <c r="AQ34" s="49">
        <f t="shared" si="8"/>
        <v>18</v>
      </c>
    </row>
    <row r="35">
      <c r="A35" s="50">
        <v>32.0</v>
      </c>
      <c r="B35" s="51" t="s">
        <v>152</v>
      </c>
      <c r="C35" s="52" t="s">
        <v>153</v>
      </c>
      <c r="D35" s="52" t="s">
        <v>36</v>
      </c>
      <c r="E35" s="52" t="s">
        <v>154</v>
      </c>
      <c r="F35" s="56">
        <f>+8801304032891</f>
        <v>8801304032891</v>
      </c>
      <c r="G35" s="35">
        <f t="shared" si="1"/>
        <v>1</v>
      </c>
      <c r="H35" s="36">
        <f t="shared" si="2"/>
        <v>0.9</v>
      </c>
      <c r="I35" s="37">
        <v>1.0</v>
      </c>
      <c r="J35" s="39"/>
      <c r="K35" s="38">
        <v>1.0</v>
      </c>
      <c r="L35" s="38">
        <v>5.0</v>
      </c>
      <c r="M35" s="37">
        <v>1.0</v>
      </c>
      <c r="N35" s="38">
        <v>10.0</v>
      </c>
      <c r="O35" s="37">
        <v>1.0</v>
      </c>
      <c r="P35" s="39"/>
      <c r="Q35" s="37">
        <v>1.0</v>
      </c>
      <c r="R35" s="38">
        <v>10.0</v>
      </c>
      <c r="S35" s="37">
        <v>1.0</v>
      </c>
      <c r="T35" s="38">
        <v>5.0</v>
      </c>
      <c r="U35" s="37">
        <v>1.0</v>
      </c>
      <c r="V35" s="38">
        <v>10.0</v>
      </c>
      <c r="W35" s="37">
        <v>1.0</v>
      </c>
      <c r="X35" s="38">
        <v>7.0</v>
      </c>
      <c r="Y35" s="37">
        <v>0.0</v>
      </c>
      <c r="Z35" s="39"/>
      <c r="AA35" s="40"/>
      <c r="AB35" s="39"/>
      <c r="AC35" s="41"/>
      <c r="AD35" s="42"/>
      <c r="AE35" s="40">
        <v>4.95</v>
      </c>
      <c r="AF35" s="43">
        <v>4.63</v>
      </c>
      <c r="AG35" s="44">
        <v>4.95</v>
      </c>
      <c r="AH35" s="43">
        <v>3.33</v>
      </c>
      <c r="AI35" s="43">
        <v>4.9</v>
      </c>
      <c r="AJ35" s="43">
        <v>5.0</v>
      </c>
      <c r="AK35" s="44">
        <v>5.0</v>
      </c>
      <c r="AL35" s="45">
        <v>2.5</v>
      </c>
      <c r="AM35" s="39"/>
      <c r="AN35" s="46">
        <f t="shared" si="6"/>
        <v>1.763</v>
      </c>
      <c r="AO35" s="47">
        <f t="shared" si="7"/>
        <v>3</v>
      </c>
      <c r="AP35" s="48">
        <f>IFERROR(__xludf.DUMMYFUNCTION("AVERAGE(ARRAYFORMULA(LARGE(FILTER(IF(ISNUMBER(I35:AB35), I35:AB35, 0), ISNUMBER(SEARCH(""Exam*"", $I$3:$AB$3))), ROW(INDIRECT(""1:"" &amp; COUNTIF($I$3:$AB$3, ""Exam*"")-1)))))*2"),20.0)</f>
        <v>20</v>
      </c>
      <c r="AQ35" s="49">
        <f t="shared" si="8"/>
        <v>25</v>
      </c>
    </row>
    <row r="36">
      <c r="A36" s="50">
        <v>33.0</v>
      </c>
      <c r="B36" s="51" t="s">
        <v>155</v>
      </c>
      <c r="C36" s="52" t="s">
        <v>156</v>
      </c>
      <c r="D36" s="52" t="s">
        <v>36</v>
      </c>
      <c r="E36" s="52" t="s">
        <v>157</v>
      </c>
      <c r="F36" s="56">
        <f>+8801303915846</f>
        <v>8801303915846</v>
      </c>
      <c r="G36" s="35">
        <f t="shared" si="1"/>
        <v>0</v>
      </c>
      <c r="H36" s="36">
        <f t="shared" si="2"/>
        <v>1</v>
      </c>
      <c r="I36" s="37">
        <v>1.0</v>
      </c>
      <c r="J36" s="39"/>
      <c r="K36" s="38">
        <v>1.0</v>
      </c>
      <c r="L36" s="38">
        <v>5.0</v>
      </c>
      <c r="M36" s="37">
        <v>1.0</v>
      </c>
      <c r="N36" s="38">
        <v>8.5</v>
      </c>
      <c r="O36" s="37">
        <v>1.0</v>
      </c>
      <c r="P36" s="39"/>
      <c r="Q36" s="37">
        <v>1.0</v>
      </c>
      <c r="R36" s="38">
        <v>4.5</v>
      </c>
      <c r="S36" s="37">
        <v>1.0</v>
      </c>
      <c r="T36" s="38">
        <v>5.0</v>
      </c>
      <c r="U36" s="37">
        <v>1.0</v>
      </c>
      <c r="V36" s="38">
        <v>5.5</v>
      </c>
      <c r="W36" s="37">
        <v>1.0</v>
      </c>
      <c r="X36" s="38">
        <v>6.0</v>
      </c>
      <c r="Y36" s="37">
        <v>1.0</v>
      </c>
      <c r="Z36" s="39"/>
      <c r="AA36" s="40"/>
      <c r="AB36" s="39"/>
      <c r="AC36" s="41"/>
      <c r="AD36" s="42"/>
      <c r="AE36" s="40">
        <v>4.95</v>
      </c>
      <c r="AF36" s="43">
        <v>4.88</v>
      </c>
      <c r="AG36" s="44">
        <v>0.0</v>
      </c>
      <c r="AH36" s="43">
        <v>1.67</v>
      </c>
      <c r="AI36" s="43">
        <v>5.0</v>
      </c>
      <c r="AJ36" s="43">
        <v>4.75</v>
      </c>
      <c r="AK36" s="44">
        <v>5.0</v>
      </c>
      <c r="AL36" s="45">
        <v>2.5</v>
      </c>
      <c r="AM36" s="39"/>
      <c r="AN36" s="46">
        <f t="shared" si="6"/>
        <v>1.4375</v>
      </c>
      <c r="AO36" s="47">
        <f t="shared" si="7"/>
        <v>3</v>
      </c>
      <c r="AP36" s="48">
        <f>IFERROR(__xludf.DUMMYFUNCTION("AVERAGE(ARRAYFORMULA(LARGE(FILTER(IF(ISNUMBER(I36:AB36), I36:AB36, 0), ISNUMBER(SEARCH(""Exam*"", $I$3:$AB$3))), ROW(INDIRECT(""1:"" &amp; COUNTIF($I$3:$AB$3, ""Exam*"")-1)))))*2"),13.333333333333334)</f>
        <v>13.33333333</v>
      </c>
      <c r="AQ36" s="49">
        <f t="shared" si="8"/>
        <v>18</v>
      </c>
    </row>
    <row r="37">
      <c r="A37" s="50">
        <v>34.0</v>
      </c>
      <c r="B37" s="51" t="s">
        <v>158</v>
      </c>
      <c r="C37" s="52" t="s">
        <v>159</v>
      </c>
      <c r="D37" s="52" t="s">
        <v>36</v>
      </c>
      <c r="E37" s="52" t="s">
        <v>160</v>
      </c>
      <c r="F37" s="56">
        <f>+8801534357112</f>
        <v>8801534357112</v>
      </c>
      <c r="G37" s="35">
        <f t="shared" si="1"/>
        <v>0</v>
      </c>
      <c r="H37" s="36">
        <f t="shared" si="2"/>
        <v>1</v>
      </c>
      <c r="I37" s="37">
        <v>1.0</v>
      </c>
      <c r="J37" s="39"/>
      <c r="K37" s="38">
        <v>1.0</v>
      </c>
      <c r="L37" s="38">
        <v>5.0</v>
      </c>
      <c r="M37" s="37">
        <v>1.0</v>
      </c>
      <c r="N37" s="38">
        <v>9.75</v>
      </c>
      <c r="O37" s="37">
        <v>1.0</v>
      </c>
      <c r="P37" s="39"/>
      <c r="Q37" s="37">
        <v>1.0</v>
      </c>
      <c r="R37" s="38">
        <v>9.25</v>
      </c>
      <c r="S37" s="37">
        <v>1.0</v>
      </c>
      <c r="T37" s="38">
        <v>5.0</v>
      </c>
      <c r="U37" s="37">
        <v>1.0</v>
      </c>
      <c r="V37" s="38">
        <v>9.0</v>
      </c>
      <c r="W37" s="37">
        <v>1.0</v>
      </c>
      <c r="X37" s="38">
        <v>10.0</v>
      </c>
      <c r="Y37" s="37">
        <v>1.0</v>
      </c>
      <c r="Z37" s="39"/>
      <c r="AA37" s="40"/>
      <c r="AB37" s="39"/>
      <c r="AC37" s="41"/>
      <c r="AD37" s="42"/>
      <c r="AE37" s="40">
        <v>4.95</v>
      </c>
      <c r="AF37" s="43">
        <v>5.0</v>
      </c>
      <c r="AG37" s="44">
        <v>1.0</v>
      </c>
      <c r="AH37" s="43">
        <v>1.67</v>
      </c>
      <c r="AI37" s="43">
        <v>5.0</v>
      </c>
      <c r="AJ37" s="43">
        <v>4.35</v>
      </c>
      <c r="AK37" s="44">
        <v>4.56</v>
      </c>
      <c r="AL37" s="45">
        <v>2.5</v>
      </c>
      <c r="AM37" s="39"/>
      <c r="AN37" s="46">
        <f t="shared" si="6"/>
        <v>1.4515</v>
      </c>
      <c r="AO37" s="47">
        <f t="shared" si="7"/>
        <v>3</v>
      </c>
      <c r="AP37" s="48">
        <f>IFERROR(__xludf.DUMMYFUNCTION("AVERAGE(ARRAYFORMULA(LARGE(FILTER(IF(ISNUMBER(I37:AB37), I37:AB37, 0), ISNUMBER(SEARCH(""Exam*"", $I$3:$AB$3))), ROW(INDIRECT(""1:"" &amp; COUNTIF($I$3:$AB$3, ""Exam*"")-1)))))*2"),19.333333333333332)</f>
        <v>19.33333333</v>
      </c>
      <c r="AQ37" s="49">
        <f t="shared" si="8"/>
        <v>24</v>
      </c>
    </row>
    <row r="38">
      <c r="A38" s="50">
        <v>35.0</v>
      </c>
      <c r="B38" s="51" t="s">
        <v>161</v>
      </c>
      <c r="C38" s="52" t="s">
        <v>162</v>
      </c>
      <c r="D38" s="52" t="s">
        <v>36</v>
      </c>
      <c r="E38" s="52" t="s">
        <v>163</v>
      </c>
      <c r="F38" s="56">
        <f>+8801329100377</f>
        <v>8801329100377</v>
      </c>
      <c r="G38" s="35">
        <f t="shared" si="1"/>
        <v>1</v>
      </c>
      <c r="H38" s="36">
        <f t="shared" si="2"/>
        <v>0.9</v>
      </c>
      <c r="I38" s="37">
        <v>0.0</v>
      </c>
      <c r="J38" s="39"/>
      <c r="K38" s="38">
        <v>1.0</v>
      </c>
      <c r="L38" s="38">
        <v>5.0</v>
      </c>
      <c r="M38" s="37">
        <v>1.0</v>
      </c>
      <c r="N38" s="38">
        <v>10.0</v>
      </c>
      <c r="O38" s="37">
        <v>1.0</v>
      </c>
      <c r="P38" s="39"/>
      <c r="Q38" s="37">
        <v>1.0</v>
      </c>
      <c r="R38" s="38">
        <v>8.0</v>
      </c>
      <c r="S38" s="37">
        <v>1.0</v>
      </c>
      <c r="T38" s="38">
        <v>5.0</v>
      </c>
      <c r="U38" s="37">
        <v>0.0</v>
      </c>
      <c r="V38" s="39"/>
      <c r="W38" s="37">
        <v>1.0</v>
      </c>
      <c r="X38" s="38">
        <v>9.0</v>
      </c>
      <c r="Y38" s="37">
        <v>1.0</v>
      </c>
      <c r="Z38" s="39"/>
      <c r="AA38" s="40"/>
      <c r="AB38" s="39"/>
      <c r="AC38" s="41"/>
      <c r="AD38" s="42"/>
      <c r="AE38" s="40">
        <v>5.0</v>
      </c>
      <c r="AF38" s="43">
        <v>5.0</v>
      </c>
      <c r="AG38" s="44">
        <v>5.0</v>
      </c>
      <c r="AH38" s="43">
        <v>5.0</v>
      </c>
      <c r="AI38" s="43">
        <v>5.0</v>
      </c>
      <c r="AJ38" s="43">
        <v>2.5</v>
      </c>
      <c r="AK38" s="44">
        <v>5.0</v>
      </c>
      <c r="AL38" s="45">
        <v>5.0</v>
      </c>
      <c r="AM38" s="39"/>
      <c r="AN38" s="46">
        <f t="shared" si="6"/>
        <v>1.875</v>
      </c>
      <c r="AO38" s="47">
        <f t="shared" si="7"/>
        <v>3</v>
      </c>
      <c r="AP38" s="48">
        <f>IFERROR(__xludf.DUMMYFUNCTION("AVERAGE(ARRAYFORMULA(LARGE(FILTER(IF(ISNUMBER(I38:AB38), I38:AB38, 0), ISNUMBER(SEARCH(""Exam*"", $I$3:$AB$3))), ROW(INDIRECT(""1:"" &amp; COUNTIF($I$3:$AB$3, ""Exam*"")-1)))))*2"),18.0)</f>
        <v>18</v>
      </c>
      <c r="AQ38" s="49">
        <f t="shared" si="8"/>
        <v>23</v>
      </c>
    </row>
    <row r="39">
      <c r="A39" s="50">
        <v>36.0</v>
      </c>
      <c r="B39" s="51" t="s">
        <v>164</v>
      </c>
      <c r="C39" s="52" t="s">
        <v>165</v>
      </c>
      <c r="D39" s="52" t="s">
        <v>36</v>
      </c>
      <c r="E39" s="52" t="s">
        <v>166</v>
      </c>
      <c r="F39" s="56">
        <f>+8801787390223</f>
        <v>8801787390223</v>
      </c>
      <c r="G39" s="35">
        <f t="shared" si="1"/>
        <v>0</v>
      </c>
      <c r="H39" s="36">
        <f t="shared" si="2"/>
        <v>1</v>
      </c>
      <c r="I39" s="37">
        <v>1.0</v>
      </c>
      <c r="J39" s="39"/>
      <c r="K39" s="38">
        <v>1.0</v>
      </c>
      <c r="L39" s="38">
        <v>5.0</v>
      </c>
      <c r="M39" s="37">
        <v>1.0</v>
      </c>
      <c r="N39" s="38">
        <v>10.0</v>
      </c>
      <c r="O39" s="37">
        <v>1.0</v>
      </c>
      <c r="P39" s="39"/>
      <c r="Q39" s="37">
        <v>1.0</v>
      </c>
      <c r="R39" s="38">
        <v>8.5</v>
      </c>
      <c r="S39" s="37">
        <v>1.0</v>
      </c>
      <c r="T39" s="38">
        <v>0.0</v>
      </c>
      <c r="U39" s="37">
        <v>1.0</v>
      </c>
      <c r="V39" s="38">
        <v>6.0</v>
      </c>
      <c r="W39" s="37">
        <v>1.0</v>
      </c>
      <c r="X39" s="38">
        <v>7.0</v>
      </c>
      <c r="Y39" s="37">
        <v>1.0</v>
      </c>
      <c r="Z39" s="39"/>
      <c r="AA39" s="40"/>
      <c r="AB39" s="39"/>
      <c r="AC39" s="41"/>
      <c r="AD39" s="42"/>
      <c r="AE39" s="37">
        <v>5.0</v>
      </c>
      <c r="AF39" s="43">
        <v>5.0</v>
      </c>
      <c r="AG39" s="44">
        <v>4.95</v>
      </c>
      <c r="AH39" s="43">
        <v>5.0</v>
      </c>
      <c r="AI39" s="43">
        <v>5.0</v>
      </c>
      <c r="AJ39" s="43">
        <v>5.0</v>
      </c>
      <c r="AK39" s="44">
        <v>5.0</v>
      </c>
      <c r="AL39" s="45">
        <v>0.0</v>
      </c>
      <c r="AM39" s="39"/>
      <c r="AN39" s="46">
        <f t="shared" si="6"/>
        <v>1.7475</v>
      </c>
      <c r="AO39" s="47">
        <f t="shared" si="7"/>
        <v>1.5</v>
      </c>
      <c r="AP39" s="48">
        <f>IFERROR(__xludf.DUMMYFUNCTION("AVERAGE(ARRAYFORMULA(LARGE(FILTER(IF(ISNUMBER(I39:AB39), I39:AB39, 0), ISNUMBER(SEARCH(""Exam*"", $I$3:$AB$3))), ROW(INDIRECT(""1:"" &amp; COUNTIF($I$3:$AB$3, ""Exam*"")-1)))))*2"),17.0)</f>
        <v>17</v>
      </c>
      <c r="AQ39" s="49">
        <f t="shared" si="8"/>
        <v>20.25</v>
      </c>
    </row>
    <row r="40">
      <c r="A40" s="50">
        <v>37.0</v>
      </c>
      <c r="B40" s="51" t="s">
        <v>167</v>
      </c>
      <c r="C40" s="52" t="s">
        <v>168</v>
      </c>
      <c r="D40" s="52" t="s">
        <v>36</v>
      </c>
      <c r="E40" s="52" t="s">
        <v>169</v>
      </c>
      <c r="F40" s="56">
        <f>+8801819802294</f>
        <v>8801819802294</v>
      </c>
      <c r="G40" s="35">
        <f t="shared" si="1"/>
        <v>0</v>
      </c>
      <c r="H40" s="36">
        <f t="shared" si="2"/>
        <v>1</v>
      </c>
      <c r="I40" s="37">
        <v>1.0</v>
      </c>
      <c r="J40" s="39"/>
      <c r="K40" s="38">
        <v>1.0</v>
      </c>
      <c r="L40" s="38">
        <v>3.0</v>
      </c>
      <c r="M40" s="37">
        <v>1.0</v>
      </c>
      <c r="N40" s="38">
        <v>7.5</v>
      </c>
      <c r="O40" s="37">
        <v>1.0</v>
      </c>
      <c r="P40" s="39"/>
      <c r="Q40" s="37">
        <v>1.0</v>
      </c>
      <c r="R40" s="38">
        <v>3.5</v>
      </c>
      <c r="S40" s="37">
        <v>1.0</v>
      </c>
      <c r="T40" s="38">
        <v>0.0</v>
      </c>
      <c r="U40" s="37">
        <v>1.0</v>
      </c>
      <c r="V40" s="38">
        <v>2.0</v>
      </c>
      <c r="W40" s="37">
        <v>1.0</v>
      </c>
      <c r="X40" s="38">
        <v>6.0</v>
      </c>
      <c r="Y40" s="37">
        <v>1.0</v>
      </c>
      <c r="Z40" s="39"/>
      <c r="AA40" s="40"/>
      <c r="AB40" s="39"/>
      <c r="AC40" s="41"/>
      <c r="AD40" s="42"/>
      <c r="AE40" s="40">
        <v>5.0</v>
      </c>
      <c r="AF40" s="43">
        <v>5.0</v>
      </c>
      <c r="AG40" s="44">
        <v>1.0</v>
      </c>
      <c r="AH40" s="43">
        <v>0.67</v>
      </c>
      <c r="AI40" s="43">
        <v>4.9</v>
      </c>
      <c r="AJ40" s="43">
        <v>2.25</v>
      </c>
      <c r="AK40" s="44">
        <v>5.0</v>
      </c>
      <c r="AL40" s="45">
        <v>0.0</v>
      </c>
      <c r="AM40" s="39"/>
      <c r="AN40" s="46">
        <f t="shared" si="6"/>
        <v>1.191</v>
      </c>
      <c r="AO40" s="47">
        <f t="shared" si="7"/>
        <v>0.9</v>
      </c>
      <c r="AP40" s="48">
        <f>IFERROR(__xludf.DUMMYFUNCTION("AVERAGE(ARRAYFORMULA(LARGE(FILTER(IF(ISNUMBER(I40:AB40), I40:AB40, 0), ISNUMBER(SEARCH(""Exam*"", $I$3:$AB$3))), ROW(INDIRECT(""1:"" &amp; COUNTIF($I$3:$AB$3, ""Exam*"")-1)))))*2"),11.333333333333334)</f>
        <v>11.33333333</v>
      </c>
      <c r="AQ40" s="49">
        <f t="shared" si="8"/>
        <v>13.5</v>
      </c>
    </row>
    <row r="41">
      <c r="A41" s="50">
        <v>38.0</v>
      </c>
      <c r="B41" s="51" t="s">
        <v>170</v>
      </c>
      <c r="C41" s="52" t="s">
        <v>171</v>
      </c>
      <c r="D41" s="52" t="s">
        <v>147</v>
      </c>
      <c r="E41" s="52" t="s">
        <v>172</v>
      </c>
      <c r="F41" s="56">
        <f>+8801308265000</f>
        <v>8801308265000</v>
      </c>
      <c r="G41" s="35">
        <f t="shared" si="1"/>
        <v>0</v>
      </c>
      <c r="H41" s="36">
        <f t="shared" si="2"/>
        <v>1</v>
      </c>
      <c r="I41" s="37">
        <v>1.0</v>
      </c>
      <c r="J41" s="39"/>
      <c r="K41" s="38">
        <v>1.0</v>
      </c>
      <c r="L41" s="38">
        <v>5.0</v>
      </c>
      <c r="M41" s="37">
        <v>1.0</v>
      </c>
      <c r="N41" s="38">
        <v>8.5</v>
      </c>
      <c r="O41" s="37">
        <v>1.0</v>
      </c>
      <c r="P41" s="39"/>
      <c r="Q41" s="37">
        <v>1.0</v>
      </c>
      <c r="R41" s="38">
        <v>4.0</v>
      </c>
      <c r="S41" s="37">
        <v>1.0</v>
      </c>
      <c r="T41" s="38">
        <v>5.0</v>
      </c>
      <c r="U41" s="37">
        <v>1.0</v>
      </c>
      <c r="V41" s="38">
        <v>5.0</v>
      </c>
      <c r="W41" s="37">
        <v>1.0</v>
      </c>
      <c r="X41" s="38">
        <v>6.5</v>
      </c>
      <c r="Y41" s="37">
        <v>1.0</v>
      </c>
      <c r="Z41" s="39"/>
      <c r="AA41" s="40"/>
      <c r="AB41" s="39"/>
      <c r="AC41" s="41"/>
      <c r="AD41" s="42"/>
      <c r="AE41" s="40">
        <v>5.0</v>
      </c>
      <c r="AF41" s="43">
        <v>5.0</v>
      </c>
      <c r="AG41" s="44">
        <v>4.5</v>
      </c>
      <c r="AH41" s="43">
        <v>5.0</v>
      </c>
      <c r="AI41" s="43">
        <v>5.0</v>
      </c>
      <c r="AJ41" s="43">
        <v>2.95</v>
      </c>
      <c r="AK41" s="44">
        <v>3.13</v>
      </c>
      <c r="AL41" s="45">
        <v>2.5</v>
      </c>
      <c r="AM41" s="39"/>
      <c r="AN41" s="46">
        <f t="shared" si="6"/>
        <v>1.654</v>
      </c>
      <c r="AO41" s="47">
        <f t="shared" si="7"/>
        <v>3</v>
      </c>
      <c r="AP41" s="48">
        <f>IFERROR(__xludf.DUMMYFUNCTION("AVERAGE(ARRAYFORMULA(LARGE(FILTER(IF(ISNUMBER(I41:AB41), I41:AB41, 0), ISNUMBER(SEARCH(""Exam*"", $I$3:$AB$3))), ROW(INDIRECT(""1:"" &amp; COUNTIF($I$3:$AB$3, ""Exam*"")-1)))))*2"),13.333333333333334)</f>
        <v>13.33333333</v>
      </c>
      <c r="AQ41" s="49">
        <f t="shared" si="8"/>
        <v>18</v>
      </c>
    </row>
    <row r="42">
      <c r="A42" s="79">
        <v>39.0</v>
      </c>
      <c r="B42" s="80" t="s">
        <v>173</v>
      </c>
      <c r="C42" s="81" t="s">
        <v>174</v>
      </c>
      <c r="D42" s="82"/>
      <c r="E42" s="82"/>
      <c r="F42" s="83"/>
      <c r="G42" s="35">
        <f t="shared" si="1"/>
        <v>1</v>
      </c>
      <c r="H42" s="36">
        <f t="shared" si="2"/>
        <v>0.9</v>
      </c>
      <c r="I42" s="37">
        <v>0.0</v>
      </c>
      <c r="J42" s="39"/>
      <c r="K42" s="38">
        <v>1.0</v>
      </c>
      <c r="L42" s="38">
        <v>5.0</v>
      </c>
      <c r="M42" s="37">
        <v>1.0</v>
      </c>
      <c r="N42" s="38">
        <v>10.0</v>
      </c>
      <c r="O42" s="37">
        <v>1.0</v>
      </c>
      <c r="P42" s="39"/>
      <c r="Q42" s="37">
        <v>1.0</v>
      </c>
      <c r="R42" s="39"/>
      <c r="S42" s="37">
        <v>1.0</v>
      </c>
      <c r="T42" s="38">
        <v>5.0</v>
      </c>
      <c r="U42" s="37">
        <v>1.0</v>
      </c>
      <c r="V42" s="38">
        <v>3.5</v>
      </c>
      <c r="W42" s="37">
        <v>1.0</v>
      </c>
      <c r="X42" s="38">
        <v>4.75</v>
      </c>
      <c r="Y42" s="37">
        <v>0.0</v>
      </c>
      <c r="Z42" s="39"/>
      <c r="AA42" s="40"/>
      <c r="AB42" s="39"/>
      <c r="AC42" s="41"/>
      <c r="AD42" s="42"/>
      <c r="AE42" s="40">
        <v>5.0</v>
      </c>
      <c r="AF42" s="43">
        <v>5.0</v>
      </c>
      <c r="AG42" s="44">
        <v>5.0</v>
      </c>
      <c r="AH42" s="43">
        <v>5.0</v>
      </c>
      <c r="AI42" s="43">
        <v>5.0</v>
      </c>
      <c r="AJ42" s="43">
        <v>1.4</v>
      </c>
      <c r="AK42" s="44">
        <v>5.0</v>
      </c>
      <c r="AL42" s="84" t="str">
        <f>'Assignment Marks'!AG41</f>
        <v/>
      </c>
      <c r="AM42" s="39"/>
      <c r="AN42" s="46">
        <f t="shared" si="6"/>
        <v>1.57</v>
      </c>
      <c r="AO42" s="47">
        <f t="shared" si="7"/>
        <v>3</v>
      </c>
      <c r="AP42" s="48">
        <f>IFERROR(__xludf.DUMMYFUNCTION("AVERAGE(ARRAYFORMULA(LARGE(FILTER(IF(ISNUMBER(I42:AB42), I42:AB42, 0), ISNUMBER(SEARCH(""Exam*"", $I$3:$AB$3))), ROW(INDIRECT(""1:"" &amp; COUNTIF($I$3:$AB$3, ""Exam*"")-1)))))*2"),12.166666666666666)</f>
        <v>12.16666667</v>
      </c>
      <c r="AQ42" s="49">
        <f t="shared" si="8"/>
        <v>16.75</v>
      </c>
    </row>
    <row r="43">
      <c r="A43" s="79">
        <v>40.0</v>
      </c>
      <c r="B43" s="85"/>
      <c r="C43" s="82"/>
      <c r="D43" s="82"/>
      <c r="E43" s="82"/>
      <c r="F43" s="83"/>
      <c r="G43" s="86"/>
      <c r="H43" s="87"/>
      <c r="I43" s="40"/>
      <c r="J43" s="39"/>
      <c r="K43" s="39"/>
      <c r="L43" s="39"/>
      <c r="M43" s="40"/>
      <c r="N43" s="39"/>
      <c r="O43" s="40"/>
      <c r="P43" s="39"/>
      <c r="Q43" s="40"/>
      <c r="R43" s="39"/>
      <c r="S43" s="40"/>
      <c r="T43" s="39"/>
      <c r="U43" s="40"/>
      <c r="V43" s="39"/>
      <c r="W43" s="40"/>
      <c r="X43" s="39"/>
      <c r="Y43" s="40"/>
      <c r="Z43" s="39"/>
      <c r="AA43" s="40"/>
      <c r="AB43" s="39"/>
      <c r="AC43" s="41"/>
      <c r="AD43" s="42"/>
      <c r="AE43" s="88"/>
      <c r="AF43" s="85"/>
      <c r="AG43" s="85"/>
      <c r="AH43" s="85"/>
      <c r="AI43" s="85"/>
      <c r="AJ43" s="85"/>
      <c r="AK43" s="85"/>
      <c r="AL43" s="84" t="str">
        <f>'Assignment Marks'!AG42</f>
        <v/>
      </c>
      <c r="AM43" s="89"/>
      <c r="AN43" s="46"/>
      <c r="AO43" s="47"/>
      <c r="AP43" s="48"/>
      <c r="AQ43" s="49"/>
    </row>
    <row r="44">
      <c r="A44" s="2"/>
      <c r="B44" s="2"/>
      <c r="C44" s="2"/>
      <c r="D44" s="2"/>
      <c r="E44" s="2"/>
      <c r="F44" s="90"/>
      <c r="G44" s="2"/>
      <c r="H44" s="2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>
      <c r="A45" s="2"/>
      <c r="B45" s="2"/>
      <c r="C45" s="2"/>
      <c r="D45" s="2"/>
      <c r="E45" s="2"/>
      <c r="F45" s="90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>
      <c r="A46" s="2"/>
      <c r="B46" s="2"/>
      <c r="C46" s="2"/>
      <c r="D46" s="2"/>
      <c r="E46" s="2"/>
      <c r="F46" s="9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>
      <c r="A47" s="2"/>
      <c r="B47" s="2"/>
      <c r="C47" s="92"/>
      <c r="D47" s="2"/>
      <c r="E47" s="2"/>
      <c r="F47" s="90"/>
      <c r="G47" s="2"/>
      <c r="H47" s="2"/>
      <c r="I47" s="2"/>
      <c r="J47" s="2"/>
      <c r="K47" s="2"/>
      <c r="L47" s="9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>
      <c r="A48" s="2"/>
      <c r="B48" s="2"/>
      <c r="C48" s="2"/>
      <c r="D48" s="2"/>
      <c r="E48" s="2"/>
      <c r="F48" s="90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>
      <c r="A49" s="2"/>
      <c r="B49" s="2"/>
      <c r="C49" s="2"/>
      <c r="D49" s="2"/>
      <c r="E49" s="2"/>
      <c r="F49" s="90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>
      <c r="A50" s="2"/>
      <c r="B50" s="2"/>
      <c r="C50" s="2"/>
      <c r="D50" s="2"/>
      <c r="E50" s="2"/>
      <c r="F50" s="9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>
      <c r="A51" s="2"/>
      <c r="B51" s="2"/>
      <c r="C51" s="2"/>
      <c r="D51" s="2"/>
      <c r="E51" s="2"/>
      <c r="F51" s="9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>
      <c r="A52" s="2"/>
      <c r="B52" s="2"/>
      <c r="C52" s="2"/>
      <c r="D52" s="2"/>
      <c r="E52" s="2"/>
      <c r="F52" s="90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>
      <c r="A53" s="2"/>
      <c r="B53" s="2"/>
      <c r="C53" s="2"/>
      <c r="D53" s="2"/>
      <c r="E53" s="2"/>
      <c r="F53" s="9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>
      <c r="A54" s="2"/>
      <c r="B54" s="2"/>
      <c r="C54" s="2"/>
      <c r="D54" s="2"/>
      <c r="E54" s="2"/>
      <c r="F54" s="90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>
      <c r="A55" s="2"/>
      <c r="B55" s="2"/>
      <c r="C55" s="2"/>
      <c r="D55" s="2"/>
      <c r="E55" s="2"/>
      <c r="F55" s="90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>
      <c r="A56" s="2"/>
      <c r="B56" s="2"/>
      <c r="C56" s="2"/>
      <c r="D56" s="2"/>
      <c r="E56" s="2"/>
      <c r="F56" s="9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>
      <c r="A57" s="2"/>
      <c r="B57" s="2"/>
      <c r="C57" s="2"/>
      <c r="D57" s="2"/>
      <c r="E57" s="2"/>
      <c r="F57" s="90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>
      <c r="A58" s="2"/>
      <c r="B58" s="2"/>
      <c r="C58" s="2"/>
      <c r="D58" s="2"/>
      <c r="E58" s="2"/>
      <c r="F58" s="90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>
      <c r="A59" s="2"/>
      <c r="B59" s="2"/>
      <c r="C59" s="2"/>
      <c r="D59" s="2"/>
      <c r="E59" s="2"/>
      <c r="F59" s="90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>
      <c r="A60" s="2"/>
      <c r="B60" s="2"/>
      <c r="C60" s="2"/>
      <c r="D60" s="2"/>
      <c r="E60" s="2"/>
      <c r="F60" s="9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>
      <c r="A61" s="2"/>
      <c r="B61" s="2"/>
      <c r="C61" s="2"/>
      <c r="D61" s="2"/>
      <c r="E61" s="2"/>
      <c r="F61" s="9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>
      <c r="A62" s="2"/>
      <c r="B62" s="2"/>
      <c r="C62" s="2"/>
      <c r="D62" s="2"/>
      <c r="E62" s="2"/>
      <c r="F62" s="9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>
      <c r="A63" s="2"/>
      <c r="B63" s="2"/>
      <c r="C63" s="2"/>
      <c r="D63" s="2"/>
      <c r="E63" s="2"/>
      <c r="F63" s="90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>
      <c r="A64" s="2"/>
      <c r="B64" s="2"/>
      <c r="C64" s="2"/>
      <c r="D64" s="2"/>
      <c r="E64" s="2"/>
      <c r="F64" s="9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>
      <c r="A65" s="2"/>
      <c r="B65" s="2"/>
      <c r="C65" s="2"/>
      <c r="D65" s="2"/>
      <c r="E65" s="2"/>
      <c r="F65" s="9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>
      <c r="A66" s="2"/>
      <c r="B66" s="2"/>
      <c r="C66" s="2"/>
      <c r="D66" s="2"/>
      <c r="E66" s="2"/>
      <c r="F66" s="9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>
      <c r="A67" s="2"/>
      <c r="B67" s="2"/>
      <c r="C67" s="2"/>
      <c r="D67" s="2"/>
      <c r="E67" s="2"/>
      <c r="F67" s="9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>
      <c r="A68" s="2"/>
      <c r="B68" s="2"/>
      <c r="C68" s="2"/>
      <c r="D68" s="2"/>
      <c r="E68" s="2"/>
      <c r="F68" s="9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>
      <c r="A69" s="2"/>
      <c r="B69" s="2"/>
      <c r="C69" s="2"/>
      <c r="D69" s="2"/>
      <c r="E69" s="2"/>
      <c r="F69" s="9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>
      <c r="A70" s="2"/>
      <c r="B70" s="2"/>
      <c r="C70" s="2"/>
      <c r="D70" s="2"/>
      <c r="E70" s="2"/>
      <c r="F70" s="9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>
      <c r="A71" s="2"/>
      <c r="B71" s="2"/>
      <c r="C71" s="2"/>
      <c r="D71" s="2"/>
      <c r="E71" s="2"/>
      <c r="F71" s="9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>
      <c r="A72" s="2"/>
      <c r="B72" s="2"/>
      <c r="C72" s="2"/>
      <c r="D72" s="2"/>
      <c r="E72" s="2"/>
      <c r="F72" s="9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>
      <c r="A73" s="2"/>
      <c r="B73" s="2"/>
      <c r="C73" s="2"/>
      <c r="D73" s="2"/>
      <c r="E73" s="2"/>
      <c r="F73" s="9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>
      <c r="A74" s="2"/>
      <c r="B74" s="2"/>
      <c r="C74" s="2"/>
      <c r="D74" s="2"/>
      <c r="E74" s="2"/>
      <c r="F74" s="9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>
      <c r="A75" s="2"/>
      <c r="B75" s="2"/>
      <c r="C75" s="2"/>
      <c r="D75" s="2"/>
      <c r="E75" s="2"/>
      <c r="F75" s="9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>
      <c r="A76" s="2"/>
      <c r="B76" s="2"/>
      <c r="C76" s="2"/>
      <c r="D76" s="2"/>
      <c r="E76" s="2"/>
      <c r="F76" s="9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>
      <c r="A77" s="2"/>
      <c r="B77" s="2"/>
      <c r="C77" s="2"/>
      <c r="D77" s="2"/>
      <c r="E77" s="2"/>
      <c r="F77" s="9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>
      <c r="A78" s="2"/>
      <c r="B78" s="2"/>
      <c r="C78" s="2"/>
      <c r="D78" s="2"/>
      <c r="E78" s="2"/>
      <c r="F78" s="9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>
      <c r="A79" s="2"/>
      <c r="B79" s="2"/>
      <c r="C79" s="2"/>
      <c r="D79" s="2"/>
      <c r="E79" s="2"/>
      <c r="F79" s="9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>
      <c r="A80" s="2"/>
      <c r="B80" s="2"/>
      <c r="C80" s="2"/>
      <c r="D80" s="2"/>
      <c r="E80" s="2"/>
      <c r="F80" s="9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>
      <c r="A81" s="2"/>
      <c r="B81" s="2"/>
      <c r="C81" s="2"/>
      <c r="D81" s="2"/>
      <c r="E81" s="2"/>
      <c r="F81" s="9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>
      <c r="A82" s="2"/>
      <c r="B82" s="2"/>
      <c r="C82" s="2"/>
      <c r="D82" s="2"/>
      <c r="E82" s="2"/>
      <c r="F82" s="9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>
      <c r="A83" s="2"/>
      <c r="B83" s="2"/>
      <c r="C83" s="2"/>
      <c r="D83" s="2"/>
      <c r="E83" s="2"/>
      <c r="F83" s="9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>
      <c r="A84" s="2"/>
      <c r="B84" s="2"/>
      <c r="C84" s="2"/>
      <c r="D84" s="2"/>
      <c r="E84" s="2"/>
      <c r="F84" s="9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>
      <c r="A85" s="2"/>
      <c r="B85" s="2"/>
      <c r="C85" s="2"/>
      <c r="D85" s="2"/>
      <c r="E85" s="2"/>
      <c r="F85" s="9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>
      <c r="A86" s="2"/>
      <c r="B86" s="2"/>
      <c r="C86" s="2"/>
      <c r="D86" s="2"/>
      <c r="E86" s="2"/>
      <c r="F86" s="9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>
      <c r="A87" s="2"/>
      <c r="B87" s="2"/>
      <c r="C87" s="2"/>
      <c r="D87" s="2"/>
      <c r="E87" s="2"/>
      <c r="F87" s="9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>
      <c r="A88" s="2"/>
      <c r="B88" s="2"/>
      <c r="C88" s="2"/>
      <c r="D88" s="2"/>
      <c r="E88" s="2"/>
      <c r="F88" s="9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>
      <c r="A89" s="2"/>
      <c r="B89" s="2"/>
      <c r="C89" s="2"/>
      <c r="D89" s="2"/>
      <c r="E89" s="2"/>
      <c r="F89" s="9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>
      <c r="A90" s="2"/>
      <c r="B90" s="2"/>
      <c r="C90" s="2"/>
      <c r="D90" s="2"/>
      <c r="E90" s="2"/>
      <c r="F90" s="9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>
      <c r="A91" s="2"/>
      <c r="B91" s="2"/>
      <c r="C91" s="2"/>
      <c r="D91" s="2"/>
      <c r="E91" s="2"/>
      <c r="F91" s="9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>
      <c r="A92" s="2"/>
      <c r="B92" s="2"/>
      <c r="C92" s="2"/>
      <c r="D92" s="2"/>
      <c r="E92" s="2"/>
      <c r="F92" s="9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>
      <c r="A93" s="2"/>
      <c r="B93" s="2"/>
      <c r="C93" s="2"/>
      <c r="D93" s="2"/>
      <c r="E93" s="2"/>
      <c r="F93" s="9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>
      <c r="A94" s="2"/>
      <c r="B94" s="2"/>
      <c r="C94" s="2"/>
      <c r="D94" s="2"/>
      <c r="E94" s="2"/>
      <c r="F94" s="9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>
      <c r="A95" s="2"/>
      <c r="B95" s="2"/>
      <c r="C95" s="2"/>
      <c r="D95" s="2"/>
      <c r="E95" s="2"/>
      <c r="F95" s="9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>
      <c r="A96" s="2"/>
      <c r="B96" s="2"/>
      <c r="C96" s="2"/>
      <c r="D96" s="2"/>
      <c r="E96" s="2"/>
      <c r="F96" s="9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>
      <c r="A97" s="2"/>
      <c r="B97" s="2"/>
      <c r="C97" s="2"/>
      <c r="D97" s="2"/>
      <c r="E97" s="2"/>
      <c r="F97" s="9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>
      <c r="A98" s="2"/>
      <c r="B98" s="2"/>
      <c r="C98" s="2"/>
      <c r="D98" s="2"/>
      <c r="E98" s="2"/>
      <c r="F98" s="9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>
      <c r="A99" s="2"/>
      <c r="B99" s="2"/>
      <c r="C99" s="2"/>
      <c r="D99" s="2"/>
      <c r="E99" s="2"/>
      <c r="F99" s="9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>
      <c r="A100" s="2"/>
      <c r="B100" s="2"/>
      <c r="C100" s="2"/>
      <c r="D100" s="2"/>
      <c r="E100" s="2"/>
      <c r="F100" s="9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>
      <c r="A101" s="2"/>
      <c r="B101" s="2"/>
      <c r="C101" s="2"/>
      <c r="D101" s="2"/>
      <c r="E101" s="2"/>
      <c r="F101" s="9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>
      <c r="A102" s="2"/>
      <c r="B102" s="2"/>
      <c r="C102" s="2"/>
      <c r="D102" s="2"/>
      <c r="E102" s="2"/>
      <c r="F102" s="9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>
      <c r="A103" s="2"/>
      <c r="B103" s="2"/>
      <c r="C103" s="2"/>
      <c r="D103" s="2"/>
      <c r="E103" s="2"/>
      <c r="F103" s="9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>
      <c r="A104" s="2"/>
      <c r="B104" s="2"/>
      <c r="C104" s="2"/>
      <c r="D104" s="2"/>
      <c r="E104" s="2"/>
      <c r="F104" s="9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>
      <c r="A105" s="2"/>
      <c r="B105" s="2"/>
      <c r="C105" s="2"/>
      <c r="D105" s="2"/>
      <c r="E105" s="2"/>
      <c r="F105" s="9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>
      <c r="A106" s="2"/>
      <c r="B106" s="2"/>
      <c r="C106" s="2"/>
      <c r="D106" s="2"/>
      <c r="E106" s="2"/>
      <c r="F106" s="9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>
      <c r="A107" s="2"/>
      <c r="B107" s="2"/>
      <c r="C107" s="2"/>
      <c r="D107" s="2"/>
      <c r="E107" s="2"/>
      <c r="F107" s="9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>
      <c r="A108" s="2"/>
      <c r="B108" s="2"/>
      <c r="C108" s="2"/>
      <c r="D108" s="2"/>
      <c r="E108" s="2"/>
      <c r="F108" s="9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>
      <c r="A109" s="2"/>
      <c r="B109" s="2"/>
      <c r="C109" s="2"/>
      <c r="D109" s="2"/>
      <c r="E109" s="2"/>
      <c r="F109" s="9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>
      <c r="A110" s="2"/>
      <c r="B110" s="2"/>
      <c r="C110" s="2"/>
      <c r="D110" s="2"/>
      <c r="E110" s="2"/>
      <c r="F110" s="9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>
      <c r="A111" s="2"/>
      <c r="B111" s="2"/>
      <c r="C111" s="2"/>
      <c r="D111" s="2"/>
      <c r="E111" s="2"/>
      <c r="F111" s="9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>
      <c r="A112" s="2"/>
      <c r="B112" s="2"/>
      <c r="C112" s="2"/>
      <c r="D112" s="2"/>
      <c r="E112" s="2"/>
      <c r="F112" s="9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>
      <c r="A113" s="2"/>
      <c r="B113" s="2"/>
      <c r="C113" s="2"/>
      <c r="D113" s="2"/>
      <c r="E113" s="2"/>
      <c r="F113" s="9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>
      <c r="A114" s="2"/>
      <c r="B114" s="2"/>
      <c r="C114" s="2"/>
      <c r="D114" s="2"/>
      <c r="E114" s="2"/>
      <c r="F114" s="9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>
      <c r="A115" s="2"/>
      <c r="B115" s="2"/>
      <c r="C115" s="2"/>
      <c r="D115" s="2"/>
      <c r="E115" s="2"/>
      <c r="F115" s="9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>
      <c r="A116" s="2"/>
      <c r="B116" s="2"/>
      <c r="C116" s="2"/>
      <c r="D116" s="2"/>
      <c r="E116" s="2"/>
      <c r="F116" s="9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>
      <c r="A117" s="2"/>
      <c r="B117" s="2"/>
      <c r="C117" s="2"/>
      <c r="D117" s="2"/>
      <c r="E117" s="2"/>
      <c r="F117" s="9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>
      <c r="A118" s="2"/>
      <c r="B118" s="2"/>
      <c r="C118" s="2"/>
      <c r="D118" s="2"/>
      <c r="E118" s="2"/>
      <c r="F118" s="9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>
      <c r="A119" s="2"/>
      <c r="B119" s="2"/>
      <c r="C119" s="2"/>
      <c r="D119" s="2"/>
      <c r="E119" s="2"/>
      <c r="F119" s="9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>
      <c r="A120" s="2"/>
      <c r="B120" s="2"/>
      <c r="C120" s="2"/>
      <c r="D120" s="2"/>
      <c r="E120" s="2"/>
      <c r="F120" s="9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>
      <c r="A121" s="2"/>
      <c r="B121" s="2"/>
      <c r="C121" s="2"/>
      <c r="D121" s="2"/>
      <c r="E121" s="2"/>
      <c r="F121" s="9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>
      <c r="A122" s="2"/>
      <c r="B122" s="2"/>
      <c r="C122" s="2"/>
      <c r="D122" s="2"/>
      <c r="E122" s="2"/>
      <c r="F122" s="9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>
      <c r="A123" s="2"/>
      <c r="B123" s="2"/>
      <c r="C123" s="2"/>
      <c r="D123" s="2"/>
      <c r="E123" s="2"/>
      <c r="F123" s="9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>
      <c r="A124" s="2"/>
      <c r="B124" s="2"/>
      <c r="C124" s="2"/>
      <c r="D124" s="2"/>
      <c r="E124" s="2"/>
      <c r="F124" s="9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>
      <c r="A125" s="2"/>
      <c r="B125" s="2"/>
      <c r="C125" s="2"/>
      <c r="D125" s="2"/>
      <c r="E125" s="2"/>
      <c r="F125" s="9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>
      <c r="A126" s="2"/>
      <c r="B126" s="2"/>
      <c r="C126" s="2"/>
      <c r="D126" s="2"/>
      <c r="E126" s="2"/>
      <c r="F126" s="9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>
      <c r="A127" s="2"/>
      <c r="B127" s="2"/>
      <c r="C127" s="2"/>
      <c r="D127" s="2"/>
      <c r="E127" s="2"/>
      <c r="F127" s="9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>
      <c r="A128" s="2"/>
      <c r="B128" s="2"/>
      <c r="C128" s="2"/>
      <c r="D128" s="2"/>
      <c r="E128" s="2"/>
      <c r="F128" s="9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>
      <c r="A129" s="2"/>
      <c r="B129" s="2"/>
      <c r="C129" s="2"/>
      <c r="D129" s="2"/>
      <c r="E129" s="2"/>
      <c r="F129" s="9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>
      <c r="A130" s="2"/>
      <c r="B130" s="2"/>
      <c r="C130" s="2"/>
      <c r="D130" s="2"/>
      <c r="E130" s="2"/>
      <c r="F130" s="9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>
      <c r="A131" s="2"/>
      <c r="B131" s="2"/>
      <c r="C131" s="2"/>
      <c r="D131" s="2"/>
      <c r="E131" s="2"/>
      <c r="F131" s="9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>
      <c r="A132" s="2"/>
      <c r="B132" s="2"/>
      <c r="C132" s="2"/>
      <c r="D132" s="2"/>
      <c r="E132" s="2"/>
      <c r="F132" s="9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>
      <c r="A133" s="2"/>
      <c r="B133" s="2"/>
      <c r="C133" s="2"/>
      <c r="D133" s="2"/>
      <c r="E133" s="2"/>
      <c r="F133" s="9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>
      <c r="A134" s="2"/>
      <c r="B134" s="2"/>
      <c r="C134" s="2"/>
      <c r="D134" s="2"/>
      <c r="E134" s="2"/>
      <c r="F134" s="9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>
      <c r="A135" s="2"/>
      <c r="B135" s="2"/>
      <c r="C135" s="2"/>
      <c r="D135" s="2"/>
      <c r="E135" s="2"/>
      <c r="F135" s="9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>
      <c r="A136" s="2"/>
      <c r="B136" s="2"/>
      <c r="C136" s="2"/>
      <c r="D136" s="2"/>
      <c r="E136" s="2"/>
      <c r="F136" s="9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>
      <c r="A137" s="2"/>
      <c r="B137" s="2"/>
      <c r="C137" s="2"/>
      <c r="D137" s="2"/>
      <c r="E137" s="2"/>
      <c r="F137" s="9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>
      <c r="A138" s="2"/>
      <c r="B138" s="2"/>
      <c r="C138" s="2"/>
      <c r="D138" s="2"/>
      <c r="E138" s="2"/>
      <c r="F138" s="9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>
      <c r="A139" s="2"/>
      <c r="B139" s="2"/>
      <c r="C139" s="2"/>
      <c r="D139" s="2"/>
      <c r="E139" s="2"/>
      <c r="F139" s="9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>
      <c r="A140" s="2"/>
      <c r="B140" s="2"/>
      <c r="C140" s="2"/>
      <c r="D140" s="2"/>
      <c r="E140" s="2"/>
      <c r="F140" s="9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>
      <c r="A141" s="2"/>
      <c r="B141" s="2"/>
      <c r="C141" s="2"/>
      <c r="D141" s="2"/>
      <c r="E141" s="2"/>
      <c r="F141" s="9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>
      <c r="A142" s="2"/>
      <c r="B142" s="2"/>
      <c r="C142" s="2"/>
      <c r="D142" s="2"/>
      <c r="E142" s="2"/>
      <c r="F142" s="9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>
      <c r="A143" s="2"/>
      <c r="B143" s="2"/>
      <c r="C143" s="2"/>
      <c r="D143" s="2"/>
      <c r="E143" s="2"/>
      <c r="F143" s="9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>
      <c r="A144" s="2"/>
      <c r="B144" s="2"/>
      <c r="C144" s="2"/>
      <c r="D144" s="2"/>
      <c r="E144" s="2"/>
      <c r="F144" s="9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>
      <c r="A145" s="2"/>
      <c r="B145" s="2"/>
      <c r="C145" s="2"/>
      <c r="D145" s="2"/>
      <c r="E145" s="2"/>
      <c r="F145" s="9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>
      <c r="A146" s="2"/>
      <c r="B146" s="2"/>
      <c r="C146" s="2"/>
      <c r="D146" s="2"/>
      <c r="E146" s="2"/>
      <c r="F146" s="9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>
      <c r="A147" s="2"/>
      <c r="B147" s="2"/>
      <c r="C147" s="2"/>
      <c r="D147" s="2"/>
      <c r="E147" s="2"/>
      <c r="F147" s="9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>
      <c r="A148" s="2"/>
      <c r="B148" s="2"/>
      <c r="C148" s="2"/>
      <c r="D148" s="2"/>
      <c r="E148" s="2"/>
      <c r="F148" s="9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>
      <c r="A149" s="2"/>
      <c r="B149" s="2"/>
      <c r="C149" s="2"/>
      <c r="D149" s="2"/>
      <c r="E149" s="2"/>
      <c r="F149" s="9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>
      <c r="A150" s="2"/>
      <c r="B150" s="2"/>
      <c r="C150" s="2"/>
      <c r="D150" s="2"/>
      <c r="E150" s="2"/>
      <c r="F150" s="9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>
      <c r="A151" s="2"/>
      <c r="B151" s="2"/>
      <c r="C151" s="2"/>
      <c r="D151" s="2"/>
      <c r="E151" s="2"/>
      <c r="F151" s="9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>
      <c r="A152" s="2"/>
      <c r="B152" s="2"/>
      <c r="C152" s="2"/>
      <c r="D152" s="2"/>
      <c r="E152" s="2"/>
      <c r="F152" s="9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>
      <c r="A153" s="2"/>
      <c r="B153" s="2"/>
      <c r="C153" s="2"/>
      <c r="D153" s="2"/>
      <c r="E153" s="2"/>
      <c r="F153" s="9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>
      <c r="A154" s="2"/>
      <c r="B154" s="2"/>
      <c r="C154" s="2"/>
      <c r="D154" s="2"/>
      <c r="E154" s="2"/>
      <c r="F154" s="9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>
      <c r="A155" s="2"/>
      <c r="B155" s="2"/>
      <c r="C155" s="2"/>
      <c r="D155" s="2"/>
      <c r="E155" s="2"/>
      <c r="F155" s="9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>
      <c r="A156" s="2"/>
      <c r="B156" s="2"/>
      <c r="C156" s="2"/>
      <c r="D156" s="2"/>
      <c r="E156" s="2"/>
      <c r="F156" s="9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>
      <c r="A157" s="2"/>
      <c r="B157" s="2"/>
      <c r="C157" s="2"/>
      <c r="D157" s="2"/>
      <c r="E157" s="2"/>
      <c r="F157" s="9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>
      <c r="A158" s="2"/>
      <c r="B158" s="2"/>
      <c r="C158" s="2"/>
      <c r="D158" s="2"/>
      <c r="E158" s="2"/>
      <c r="F158" s="9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>
      <c r="A159" s="2"/>
      <c r="B159" s="2"/>
      <c r="C159" s="2"/>
      <c r="D159" s="2"/>
      <c r="E159" s="2"/>
      <c r="F159" s="9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>
      <c r="A160" s="2"/>
      <c r="B160" s="2"/>
      <c r="C160" s="2"/>
      <c r="D160" s="2"/>
      <c r="E160" s="2"/>
      <c r="F160" s="9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>
      <c r="A161" s="2"/>
      <c r="B161" s="2"/>
      <c r="C161" s="2"/>
      <c r="D161" s="2"/>
      <c r="E161" s="2"/>
      <c r="F161" s="9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>
      <c r="A162" s="2"/>
      <c r="B162" s="2"/>
      <c r="C162" s="2"/>
      <c r="D162" s="2"/>
      <c r="E162" s="2"/>
      <c r="F162" s="9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>
      <c r="A163" s="2"/>
      <c r="B163" s="2"/>
      <c r="C163" s="2"/>
      <c r="D163" s="2"/>
      <c r="E163" s="2"/>
      <c r="F163" s="9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>
      <c r="A164" s="2"/>
      <c r="B164" s="2"/>
      <c r="C164" s="2"/>
      <c r="D164" s="2"/>
      <c r="E164" s="2"/>
      <c r="F164" s="9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>
      <c r="A165" s="2"/>
      <c r="B165" s="2"/>
      <c r="C165" s="2"/>
      <c r="D165" s="2"/>
      <c r="E165" s="2"/>
      <c r="F165" s="9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>
      <c r="A166" s="2"/>
      <c r="B166" s="2"/>
      <c r="C166" s="2"/>
      <c r="D166" s="2"/>
      <c r="E166" s="2"/>
      <c r="F166" s="9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>
      <c r="A167" s="2"/>
      <c r="B167" s="2"/>
      <c r="C167" s="2"/>
      <c r="D167" s="2"/>
      <c r="E167" s="2"/>
      <c r="F167" s="9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>
      <c r="A168" s="2"/>
      <c r="B168" s="2"/>
      <c r="C168" s="2"/>
      <c r="D168" s="2"/>
      <c r="E168" s="2"/>
      <c r="F168" s="9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>
      <c r="A169" s="2"/>
      <c r="B169" s="2"/>
      <c r="C169" s="2"/>
      <c r="D169" s="2"/>
      <c r="E169" s="2"/>
      <c r="F169" s="9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>
      <c r="A170" s="2"/>
      <c r="B170" s="2"/>
      <c r="C170" s="2"/>
      <c r="D170" s="2"/>
      <c r="E170" s="2"/>
      <c r="F170" s="9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>
      <c r="A171" s="2"/>
      <c r="B171" s="2"/>
      <c r="C171" s="2"/>
      <c r="D171" s="2"/>
      <c r="E171" s="2"/>
      <c r="F171" s="9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>
      <c r="A172" s="2"/>
      <c r="B172" s="2"/>
      <c r="C172" s="2"/>
      <c r="D172" s="2"/>
      <c r="E172" s="2"/>
      <c r="F172" s="9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>
      <c r="A173" s="2"/>
      <c r="B173" s="2"/>
      <c r="C173" s="2"/>
      <c r="D173" s="2"/>
      <c r="E173" s="2"/>
      <c r="F173" s="9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>
      <c r="A174" s="2"/>
      <c r="B174" s="2"/>
      <c r="C174" s="2"/>
      <c r="D174" s="2"/>
      <c r="E174" s="2"/>
      <c r="F174" s="9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>
      <c r="A175" s="2"/>
      <c r="B175" s="2"/>
      <c r="C175" s="2"/>
      <c r="D175" s="2"/>
      <c r="E175" s="2"/>
      <c r="F175" s="9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>
      <c r="A176" s="2"/>
      <c r="B176" s="2"/>
      <c r="C176" s="2"/>
      <c r="D176" s="2"/>
      <c r="E176" s="2"/>
      <c r="F176" s="9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>
      <c r="A177" s="2"/>
      <c r="B177" s="2"/>
      <c r="C177" s="2"/>
      <c r="D177" s="2"/>
      <c r="E177" s="2"/>
      <c r="F177" s="9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>
      <c r="A178" s="2"/>
      <c r="B178" s="2"/>
      <c r="C178" s="2"/>
      <c r="D178" s="2"/>
      <c r="E178" s="2"/>
      <c r="F178" s="9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>
      <c r="A179" s="2"/>
      <c r="B179" s="2"/>
      <c r="C179" s="2"/>
      <c r="D179" s="2"/>
      <c r="E179" s="2"/>
      <c r="F179" s="9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>
      <c r="A180" s="2"/>
      <c r="B180" s="2"/>
      <c r="C180" s="2"/>
      <c r="D180" s="2"/>
      <c r="E180" s="2"/>
      <c r="F180" s="9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>
      <c r="A181" s="2"/>
      <c r="B181" s="2"/>
      <c r="C181" s="2"/>
      <c r="D181" s="2"/>
      <c r="E181" s="2"/>
      <c r="F181" s="9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>
      <c r="A182" s="2"/>
      <c r="B182" s="2"/>
      <c r="C182" s="2"/>
      <c r="D182" s="2"/>
      <c r="E182" s="2"/>
      <c r="F182" s="9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>
      <c r="A183" s="2"/>
      <c r="B183" s="2"/>
      <c r="C183" s="2"/>
      <c r="D183" s="2"/>
      <c r="E183" s="2"/>
      <c r="F183" s="9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>
      <c r="A184" s="2"/>
      <c r="B184" s="2"/>
      <c r="C184" s="2"/>
      <c r="D184" s="2"/>
      <c r="E184" s="2"/>
      <c r="F184" s="9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>
      <c r="A185" s="2"/>
      <c r="B185" s="2"/>
      <c r="C185" s="2"/>
      <c r="D185" s="2"/>
      <c r="E185" s="2"/>
      <c r="F185" s="9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>
      <c r="A186" s="2"/>
      <c r="B186" s="2"/>
      <c r="C186" s="2"/>
      <c r="D186" s="2"/>
      <c r="E186" s="2"/>
      <c r="F186" s="9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>
      <c r="A187" s="2"/>
      <c r="B187" s="2"/>
      <c r="C187" s="2"/>
      <c r="D187" s="2"/>
      <c r="E187" s="2"/>
      <c r="F187" s="9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>
      <c r="A188" s="2"/>
      <c r="B188" s="2"/>
      <c r="C188" s="2"/>
      <c r="D188" s="2"/>
      <c r="E188" s="2"/>
      <c r="F188" s="9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>
      <c r="A189" s="2"/>
      <c r="B189" s="2"/>
      <c r="C189" s="2"/>
      <c r="D189" s="2"/>
      <c r="E189" s="2"/>
      <c r="F189" s="9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>
      <c r="A190" s="2"/>
      <c r="B190" s="2"/>
      <c r="C190" s="2"/>
      <c r="D190" s="2"/>
      <c r="E190" s="2"/>
      <c r="F190" s="9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>
      <c r="A191" s="2"/>
      <c r="B191" s="2"/>
      <c r="C191" s="2"/>
      <c r="D191" s="2"/>
      <c r="E191" s="2"/>
      <c r="F191" s="9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>
      <c r="A192" s="2"/>
      <c r="B192" s="2"/>
      <c r="C192" s="2"/>
      <c r="D192" s="2"/>
      <c r="E192" s="2"/>
      <c r="F192" s="9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>
      <c r="A193" s="2"/>
      <c r="B193" s="2"/>
      <c r="C193" s="2"/>
      <c r="D193" s="2"/>
      <c r="E193" s="2"/>
      <c r="F193" s="9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>
      <c r="A194" s="2"/>
      <c r="B194" s="2"/>
      <c r="C194" s="2"/>
      <c r="D194" s="2"/>
      <c r="E194" s="2"/>
      <c r="F194" s="9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>
      <c r="A195" s="2"/>
      <c r="B195" s="2"/>
      <c r="C195" s="2"/>
      <c r="D195" s="2"/>
      <c r="E195" s="2"/>
      <c r="F195" s="9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>
      <c r="A196" s="2"/>
      <c r="B196" s="2"/>
      <c r="C196" s="2"/>
      <c r="D196" s="2"/>
      <c r="E196" s="2"/>
      <c r="F196" s="9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>
      <c r="A197" s="2"/>
      <c r="B197" s="2"/>
      <c r="C197" s="2"/>
      <c r="D197" s="2"/>
      <c r="E197" s="2"/>
      <c r="F197" s="9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>
      <c r="A198" s="2"/>
      <c r="B198" s="2"/>
      <c r="C198" s="2"/>
      <c r="D198" s="2"/>
      <c r="E198" s="2"/>
      <c r="F198" s="9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>
      <c r="A199" s="2"/>
      <c r="B199" s="2"/>
      <c r="C199" s="2"/>
      <c r="D199" s="2"/>
      <c r="E199" s="2"/>
      <c r="F199" s="9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>
      <c r="A200" s="2"/>
      <c r="B200" s="2"/>
      <c r="C200" s="2"/>
      <c r="D200" s="2"/>
      <c r="E200" s="2"/>
      <c r="F200" s="9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>
      <c r="A201" s="2"/>
      <c r="B201" s="2"/>
      <c r="C201" s="2"/>
      <c r="D201" s="2"/>
      <c r="E201" s="2"/>
      <c r="F201" s="9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>
      <c r="A202" s="2"/>
      <c r="B202" s="2"/>
      <c r="C202" s="2"/>
      <c r="D202" s="2"/>
      <c r="E202" s="2"/>
      <c r="F202" s="9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>
      <c r="A203" s="2"/>
      <c r="B203" s="2"/>
      <c r="C203" s="2"/>
      <c r="D203" s="2"/>
      <c r="E203" s="2"/>
      <c r="F203" s="9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>
      <c r="A204" s="2"/>
      <c r="B204" s="2"/>
      <c r="C204" s="2"/>
      <c r="D204" s="2"/>
      <c r="E204" s="2"/>
      <c r="F204" s="9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>
      <c r="A205" s="2"/>
      <c r="B205" s="2"/>
      <c r="C205" s="2"/>
      <c r="D205" s="2"/>
      <c r="E205" s="2"/>
      <c r="F205" s="9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>
      <c r="A206" s="2"/>
      <c r="B206" s="2"/>
      <c r="C206" s="2"/>
      <c r="D206" s="2"/>
      <c r="E206" s="2"/>
      <c r="F206" s="9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>
      <c r="A207" s="2"/>
      <c r="B207" s="2"/>
      <c r="C207" s="2"/>
      <c r="D207" s="2"/>
      <c r="E207" s="2"/>
      <c r="F207" s="9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>
      <c r="A208" s="2"/>
      <c r="B208" s="2"/>
      <c r="C208" s="2"/>
      <c r="D208" s="2"/>
      <c r="E208" s="2"/>
      <c r="F208" s="9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>
      <c r="A209" s="2"/>
      <c r="B209" s="2"/>
      <c r="C209" s="2"/>
      <c r="D209" s="2"/>
      <c r="E209" s="2"/>
      <c r="F209" s="9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>
      <c r="A210" s="2"/>
      <c r="B210" s="2"/>
      <c r="C210" s="2"/>
      <c r="D210" s="2"/>
      <c r="E210" s="2"/>
      <c r="F210" s="9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>
      <c r="A211" s="2"/>
      <c r="B211" s="2"/>
      <c r="C211" s="2"/>
      <c r="D211" s="2"/>
      <c r="E211" s="2"/>
      <c r="F211" s="9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>
      <c r="A212" s="2"/>
      <c r="B212" s="2"/>
      <c r="C212" s="2"/>
      <c r="D212" s="2"/>
      <c r="E212" s="2"/>
      <c r="F212" s="9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>
      <c r="A213" s="2"/>
      <c r="B213" s="2"/>
      <c r="C213" s="2"/>
      <c r="D213" s="2"/>
      <c r="E213" s="2"/>
      <c r="F213" s="9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>
      <c r="A214" s="2"/>
      <c r="B214" s="2"/>
      <c r="C214" s="2"/>
      <c r="D214" s="2"/>
      <c r="E214" s="2"/>
      <c r="F214" s="9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>
      <c r="A215" s="2"/>
      <c r="B215" s="2"/>
      <c r="C215" s="2"/>
      <c r="D215" s="2"/>
      <c r="E215" s="2"/>
      <c r="F215" s="9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>
      <c r="A216" s="2"/>
      <c r="B216" s="2"/>
      <c r="C216" s="2"/>
      <c r="D216" s="2"/>
      <c r="E216" s="2"/>
      <c r="F216" s="9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>
      <c r="A217" s="2"/>
      <c r="B217" s="2"/>
      <c r="C217" s="2"/>
      <c r="D217" s="2"/>
      <c r="E217" s="2"/>
      <c r="F217" s="9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>
      <c r="A218" s="2"/>
      <c r="B218" s="2"/>
      <c r="C218" s="2"/>
      <c r="D218" s="2"/>
      <c r="E218" s="2"/>
      <c r="F218" s="9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>
      <c r="A219" s="2"/>
      <c r="B219" s="2"/>
      <c r="C219" s="2"/>
      <c r="D219" s="2"/>
      <c r="E219" s="2"/>
      <c r="F219" s="9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>
      <c r="A220" s="2"/>
      <c r="B220" s="2"/>
      <c r="C220" s="2"/>
      <c r="D220" s="2"/>
      <c r="E220" s="2"/>
      <c r="F220" s="9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>
      <c r="A221" s="2"/>
      <c r="B221" s="2"/>
      <c r="C221" s="2"/>
      <c r="D221" s="2"/>
      <c r="E221" s="2"/>
      <c r="F221" s="9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>
      <c r="A222" s="2"/>
      <c r="B222" s="2"/>
      <c r="C222" s="2"/>
      <c r="D222" s="2"/>
      <c r="E222" s="2"/>
      <c r="F222" s="9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>
      <c r="A223" s="2"/>
      <c r="B223" s="2"/>
      <c r="C223" s="2"/>
      <c r="D223" s="2"/>
      <c r="E223" s="2"/>
      <c r="F223" s="9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>
      <c r="A224" s="2"/>
      <c r="B224" s="2"/>
      <c r="C224" s="2"/>
      <c r="D224" s="2"/>
      <c r="E224" s="2"/>
      <c r="F224" s="9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>
      <c r="A225" s="2"/>
      <c r="B225" s="2"/>
      <c r="C225" s="2"/>
      <c r="D225" s="2"/>
      <c r="E225" s="2"/>
      <c r="F225" s="9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>
      <c r="A226" s="2"/>
      <c r="B226" s="2"/>
      <c r="C226" s="2"/>
      <c r="D226" s="2"/>
      <c r="E226" s="2"/>
      <c r="F226" s="9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>
      <c r="A227" s="2"/>
      <c r="B227" s="2"/>
      <c r="C227" s="2"/>
      <c r="D227" s="2"/>
      <c r="E227" s="2"/>
      <c r="F227" s="9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>
      <c r="A228" s="2"/>
      <c r="B228" s="2"/>
      <c r="C228" s="2"/>
      <c r="D228" s="2"/>
      <c r="E228" s="2"/>
      <c r="F228" s="9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>
      <c r="A229" s="2"/>
      <c r="B229" s="2"/>
      <c r="C229" s="2"/>
      <c r="D229" s="2"/>
      <c r="E229" s="2"/>
      <c r="F229" s="9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>
      <c r="A230" s="2"/>
      <c r="B230" s="2"/>
      <c r="C230" s="2"/>
      <c r="D230" s="2"/>
      <c r="E230" s="2"/>
      <c r="F230" s="9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>
      <c r="A231" s="2"/>
      <c r="B231" s="2"/>
      <c r="C231" s="2"/>
      <c r="D231" s="2"/>
      <c r="E231" s="2"/>
      <c r="F231" s="9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>
      <c r="A232" s="2"/>
      <c r="B232" s="2"/>
      <c r="C232" s="2"/>
      <c r="D232" s="2"/>
      <c r="E232" s="2"/>
      <c r="F232" s="9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>
      <c r="A233" s="2"/>
      <c r="B233" s="2"/>
      <c r="C233" s="2"/>
      <c r="D233" s="2"/>
      <c r="E233" s="2"/>
      <c r="F233" s="9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>
      <c r="A234" s="2"/>
      <c r="B234" s="2"/>
      <c r="C234" s="2"/>
      <c r="D234" s="2"/>
      <c r="E234" s="2"/>
      <c r="F234" s="9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>
      <c r="A235" s="2"/>
      <c r="B235" s="2"/>
      <c r="C235" s="2"/>
      <c r="D235" s="2"/>
      <c r="E235" s="2"/>
      <c r="F235" s="9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>
      <c r="A236" s="2"/>
      <c r="B236" s="2"/>
      <c r="C236" s="2"/>
      <c r="D236" s="2"/>
      <c r="E236" s="2"/>
      <c r="F236" s="9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>
      <c r="A237" s="2"/>
      <c r="B237" s="2"/>
      <c r="C237" s="2"/>
      <c r="D237" s="2"/>
      <c r="E237" s="2"/>
      <c r="F237" s="9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>
      <c r="A238" s="2"/>
      <c r="B238" s="2"/>
      <c r="C238" s="2"/>
      <c r="D238" s="2"/>
      <c r="E238" s="2"/>
      <c r="F238" s="9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>
      <c r="A239" s="2"/>
      <c r="B239" s="2"/>
      <c r="C239" s="2"/>
      <c r="D239" s="2"/>
      <c r="E239" s="2"/>
      <c r="F239" s="9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>
      <c r="A240" s="2"/>
      <c r="B240" s="2"/>
      <c r="C240" s="2"/>
      <c r="D240" s="2"/>
      <c r="E240" s="2"/>
      <c r="F240" s="9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>
      <c r="A241" s="2"/>
      <c r="B241" s="2"/>
      <c r="C241" s="2"/>
      <c r="D241" s="2"/>
      <c r="E241" s="2"/>
      <c r="F241" s="9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>
      <c r="A242" s="2"/>
      <c r="B242" s="2"/>
      <c r="C242" s="2"/>
      <c r="D242" s="2"/>
      <c r="E242" s="2"/>
      <c r="F242" s="9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>
      <c r="A243" s="2"/>
      <c r="B243" s="2"/>
      <c r="C243" s="2"/>
      <c r="D243" s="2"/>
      <c r="E243" s="2"/>
      <c r="F243" s="9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>
      <c r="A244" s="2"/>
      <c r="B244" s="2"/>
      <c r="C244" s="2"/>
      <c r="D244" s="2"/>
      <c r="E244" s="2"/>
      <c r="F244" s="9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>
      <c r="A245" s="2"/>
      <c r="B245" s="2"/>
      <c r="C245" s="2"/>
      <c r="D245" s="2"/>
      <c r="E245" s="2"/>
      <c r="F245" s="9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>
      <c r="A246" s="2"/>
      <c r="B246" s="2"/>
      <c r="C246" s="2"/>
      <c r="D246" s="2"/>
      <c r="E246" s="2"/>
      <c r="F246" s="9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>
      <c r="A247" s="2"/>
      <c r="B247" s="2"/>
      <c r="C247" s="2"/>
      <c r="D247" s="2"/>
      <c r="E247" s="2"/>
      <c r="F247" s="9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>
      <c r="A248" s="2"/>
      <c r="B248" s="2"/>
      <c r="C248" s="2"/>
      <c r="D248" s="2"/>
      <c r="E248" s="2"/>
      <c r="F248" s="9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>
      <c r="A249" s="2"/>
      <c r="B249" s="2"/>
      <c r="C249" s="2"/>
      <c r="D249" s="2"/>
      <c r="E249" s="2"/>
      <c r="F249" s="9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>
      <c r="A250" s="2"/>
      <c r="B250" s="2"/>
      <c r="C250" s="2"/>
      <c r="D250" s="2"/>
      <c r="E250" s="2"/>
      <c r="F250" s="9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>
      <c r="A251" s="2"/>
      <c r="B251" s="2"/>
      <c r="C251" s="2"/>
      <c r="D251" s="2"/>
      <c r="E251" s="2"/>
      <c r="F251" s="9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>
      <c r="A252" s="2"/>
      <c r="B252" s="2"/>
      <c r="C252" s="2"/>
      <c r="D252" s="2"/>
      <c r="E252" s="2"/>
      <c r="F252" s="9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>
      <c r="A253" s="2"/>
      <c r="B253" s="2"/>
      <c r="C253" s="2"/>
      <c r="D253" s="2"/>
      <c r="E253" s="2"/>
      <c r="F253" s="9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>
      <c r="A254" s="2"/>
      <c r="B254" s="2"/>
      <c r="C254" s="2"/>
      <c r="D254" s="2"/>
      <c r="E254" s="2"/>
      <c r="F254" s="9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>
      <c r="A255" s="2"/>
      <c r="B255" s="2"/>
      <c r="C255" s="2"/>
      <c r="D255" s="2"/>
      <c r="E255" s="2"/>
      <c r="F255" s="9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>
      <c r="A256" s="2"/>
      <c r="B256" s="2"/>
      <c r="C256" s="2"/>
      <c r="D256" s="2"/>
      <c r="E256" s="2"/>
      <c r="F256" s="9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>
      <c r="A257" s="2"/>
      <c r="B257" s="2"/>
      <c r="C257" s="2"/>
      <c r="D257" s="2"/>
      <c r="E257" s="2"/>
      <c r="F257" s="9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>
      <c r="A258" s="2"/>
      <c r="B258" s="2"/>
      <c r="C258" s="2"/>
      <c r="D258" s="2"/>
      <c r="E258" s="2"/>
      <c r="F258" s="9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>
      <c r="A259" s="2"/>
      <c r="B259" s="2"/>
      <c r="C259" s="2"/>
      <c r="D259" s="2"/>
      <c r="E259" s="2"/>
      <c r="F259" s="9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>
      <c r="A260" s="2"/>
      <c r="B260" s="2"/>
      <c r="C260" s="2"/>
      <c r="D260" s="2"/>
      <c r="E260" s="2"/>
      <c r="F260" s="9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>
      <c r="A261" s="2"/>
      <c r="B261" s="2"/>
      <c r="C261" s="2"/>
      <c r="D261" s="2"/>
      <c r="E261" s="2"/>
      <c r="F261" s="9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>
      <c r="A262" s="2"/>
      <c r="B262" s="2"/>
      <c r="C262" s="2"/>
      <c r="D262" s="2"/>
      <c r="E262" s="2"/>
      <c r="F262" s="9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>
      <c r="A263" s="2"/>
      <c r="B263" s="2"/>
      <c r="C263" s="2"/>
      <c r="D263" s="2"/>
      <c r="E263" s="2"/>
      <c r="F263" s="9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>
      <c r="A264" s="2"/>
      <c r="B264" s="2"/>
      <c r="C264" s="2"/>
      <c r="D264" s="2"/>
      <c r="E264" s="2"/>
      <c r="F264" s="9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>
      <c r="A265" s="2"/>
      <c r="B265" s="2"/>
      <c r="C265" s="2"/>
      <c r="D265" s="2"/>
      <c r="E265" s="2"/>
      <c r="F265" s="9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>
      <c r="A266" s="2"/>
      <c r="B266" s="2"/>
      <c r="C266" s="2"/>
      <c r="D266" s="2"/>
      <c r="E266" s="2"/>
      <c r="F266" s="9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>
      <c r="A267" s="2"/>
      <c r="B267" s="2"/>
      <c r="C267" s="2"/>
      <c r="D267" s="2"/>
      <c r="E267" s="2"/>
      <c r="F267" s="9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>
      <c r="A268" s="2"/>
      <c r="B268" s="2"/>
      <c r="C268" s="2"/>
      <c r="D268" s="2"/>
      <c r="E268" s="2"/>
      <c r="F268" s="9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>
      <c r="A269" s="2"/>
      <c r="B269" s="2"/>
      <c r="C269" s="2"/>
      <c r="D269" s="2"/>
      <c r="E269" s="2"/>
      <c r="F269" s="9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>
      <c r="A270" s="2"/>
      <c r="B270" s="2"/>
      <c r="C270" s="2"/>
      <c r="D270" s="2"/>
      <c r="E270" s="2"/>
      <c r="F270" s="9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>
      <c r="A271" s="2"/>
      <c r="B271" s="2"/>
      <c r="C271" s="2"/>
      <c r="D271" s="2"/>
      <c r="E271" s="2"/>
      <c r="F271" s="9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>
      <c r="A272" s="2"/>
      <c r="B272" s="2"/>
      <c r="C272" s="2"/>
      <c r="D272" s="2"/>
      <c r="E272" s="2"/>
      <c r="F272" s="9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>
      <c r="A273" s="2"/>
      <c r="B273" s="2"/>
      <c r="C273" s="2"/>
      <c r="D273" s="2"/>
      <c r="E273" s="2"/>
      <c r="F273" s="9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>
      <c r="A274" s="2"/>
      <c r="B274" s="2"/>
      <c r="C274" s="2"/>
      <c r="D274" s="2"/>
      <c r="E274" s="2"/>
      <c r="F274" s="9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>
      <c r="A275" s="2"/>
      <c r="B275" s="2"/>
      <c r="C275" s="2"/>
      <c r="D275" s="2"/>
      <c r="E275" s="2"/>
      <c r="F275" s="9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>
      <c r="A276" s="2"/>
      <c r="B276" s="2"/>
      <c r="C276" s="2"/>
      <c r="D276" s="2"/>
      <c r="E276" s="2"/>
      <c r="F276" s="9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>
      <c r="A277" s="2"/>
      <c r="B277" s="2"/>
      <c r="C277" s="2"/>
      <c r="D277" s="2"/>
      <c r="E277" s="2"/>
      <c r="F277" s="9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>
      <c r="A278" s="2"/>
      <c r="B278" s="2"/>
      <c r="C278" s="2"/>
      <c r="D278" s="2"/>
      <c r="E278" s="2"/>
      <c r="F278" s="9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>
      <c r="A279" s="2"/>
      <c r="B279" s="2"/>
      <c r="C279" s="2"/>
      <c r="D279" s="2"/>
      <c r="E279" s="2"/>
      <c r="F279" s="9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>
      <c r="A280" s="2"/>
      <c r="B280" s="2"/>
      <c r="C280" s="2"/>
      <c r="D280" s="2"/>
      <c r="E280" s="2"/>
      <c r="F280" s="9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>
      <c r="A281" s="2"/>
      <c r="B281" s="2"/>
      <c r="C281" s="2"/>
      <c r="D281" s="2"/>
      <c r="E281" s="2"/>
      <c r="F281" s="9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>
      <c r="A282" s="2"/>
      <c r="B282" s="2"/>
      <c r="C282" s="2"/>
      <c r="D282" s="2"/>
      <c r="E282" s="2"/>
      <c r="F282" s="9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>
      <c r="A283" s="2"/>
      <c r="B283" s="2"/>
      <c r="C283" s="2"/>
      <c r="D283" s="2"/>
      <c r="E283" s="2"/>
      <c r="F283" s="9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>
      <c r="A284" s="2"/>
      <c r="B284" s="2"/>
      <c r="C284" s="2"/>
      <c r="D284" s="2"/>
      <c r="E284" s="2"/>
      <c r="F284" s="9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>
      <c r="A285" s="2"/>
      <c r="B285" s="2"/>
      <c r="C285" s="2"/>
      <c r="D285" s="2"/>
      <c r="E285" s="2"/>
      <c r="F285" s="9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>
      <c r="A286" s="2"/>
      <c r="B286" s="2"/>
      <c r="C286" s="2"/>
      <c r="D286" s="2"/>
      <c r="E286" s="2"/>
      <c r="F286" s="9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>
      <c r="A287" s="2"/>
      <c r="B287" s="2"/>
      <c r="C287" s="2"/>
      <c r="D287" s="2"/>
      <c r="E287" s="2"/>
      <c r="F287" s="9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>
      <c r="A288" s="2"/>
      <c r="B288" s="2"/>
      <c r="C288" s="2"/>
      <c r="D288" s="2"/>
      <c r="E288" s="2"/>
      <c r="F288" s="9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>
      <c r="A289" s="2"/>
      <c r="B289" s="2"/>
      <c r="C289" s="2"/>
      <c r="D289" s="2"/>
      <c r="E289" s="2"/>
      <c r="F289" s="9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>
      <c r="A290" s="2"/>
      <c r="B290" s="2"/>
      <c r="C290" s="2"/>
      <c r="D290" s="2"/>
      <c r="E290" s="2"/>
      <c r="F290" s="9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>
      <c r="A291" s="2"/>
      <c r="B291" s="2"/>
      <c r="C291" s="2"/>
      <c r="D291" s="2"/>
      <c r="E291" s="2"/>
      <c r="F291" s="9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>
      <c r="A292" s="2"/>
      <c r="B292" s="2"/>
      <c r="C292" s="2"/>
      <c r="D292" s="2"/>
      <c r="E292" s="2"/>
      <c r="F292" s="9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>
      <c r="A293" s="2"/>
      <c r="B293" s="2"/>
      <c r="C293" s="2"/>
      <c r="D293" s="2"/>
      <c r="E293" s="2"/>
      <c r="F293" s="9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>
      <c r="A294" s="2"/>
      <c r="B294" s="2"/>
      <c r="C294" s="2"/>
      <c r="D294" s="2"/>
      <c r="E294" s="2"/>
      <c r="F294" s="9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>
      <c r="A295" s="2"/>
      <c r="B295" s="2"/>
      <c r="C295" s="2"/>
      <c r="D295" s="2"/>
      <c r="E295" s="2"/>
      <c r="F295" s="9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>
      <c r="A296" s="2"/>
      <c r="B296" s="2"/>
      <c r="C296" s="2"/>
      <c r="D296" s="2"/>
      <c r="E296" s="2"/>
      <c r="F296" s="9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>
      <c r="A297" s="2"/>
      <c r="B297" s="2"/>
      <c r="C297" s="2"/>
      <c r="D297" s="2"/>
      <c r="E297" s="2"/>
      <c r="F297" s="9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>
      <c r="A298" s="2"/>
      <c r="B298" s="2"/>
      <c r="C298" s="2"/>
      <c r="D298" s="2"/>
      <c r="E298" s="2"/>
      <c r="F298" s="9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>
      <c r="A299" s="2"/>
      <c r="B299" s="2"/>
      <c r="C299" s="2"/>
      <c r="D299" s="2"/>
      <c r="E299" s="2"/>
      <c r="F299" s="9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>
      <c r="A300" s="2"/>
      <c r="B300" s="2"/>
      <c r="C300" s="2"/>
      <c r="D300" s="2"/>
      <c r="E300" s="2"/>
      <c r="F300" s="9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>
      <c r="A301" s="2"/>
      <c r="B301" s="2"/>
      <c r="C301" s="2"/>
      <c r="D301" s="2"/>
      <c r="E301" s="2"/>
      <c r="F301" s="9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>
      <c r="A302" s="2"/>
      <c r="B302" s="2"/>
      <c r="C302" s="2"/>
      <c r="D302" s="2"/>
      <c r="E302" s="2"/>
      <c r="F302" s="9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>
      <c r="A303" s="2"/>
      <c r="B303" s="2"/>
      <c r="C303" s="2"/>
      <c r="D303" s="2"/>
      <c r="E303" s="2"/>
      <c r="F303" s="9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>
      <c r="A304" s="2"/>
      <c r="B304" s="2"/>
      <c r="C304" s="2"/>
      <c r="D304" s="2"/>
      <c r="E304" s="2"/>
      <c r="F304" s="9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>
      <c r="A305" s="2"/>
      <c r="B305" s="2"/>
      <c r="C305" s="2"/>
      <c r="D305" s="2"/>
      <c r="E305" s="2"/>
      <c r="F305" s="9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>
      <c r="A306" s="2"/>
      <c r="B306" s="2"/>
      <c r="C306" s="2"/>
      <c r="D306" s="2"/>
      <c r="E306" s="2"/>
      <c r="F306" s="9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>
      <c r="A307" s="2"/>
      <c r="B307" s="2"/>
      <c r="C307" s="2"/>
      <c r="D307" s="2"/>
      <c r="E307" s="2"/>
      <c r="F307" s="9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>
      <c r="A308" s="2"/>
      <c r="B308" s="2"/>
      <c r="C308" s="2"/>
      <c r="D308" s="2"/>
      <c r="E308" s="2"/>
      <c r="F308" s="9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>
      <c r="A309" s="2"/>
      <c r="B309" s="2"/>
      <c r="C309" s="2"/>
      <c r="D309" s="2"/>
      <c r="E309" s="2"/>
      <c r="F309" s="9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>
      <c r="A310" s="2"/>
      <c r="B310" s="2"/>
      <c r="C310" s="2"/>
      <c r="D310" s="2"/>
      <c r="E310" s="2"/>
      <c r="F310" s="9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>
      <c r="A311" s="2"/>
      <c r="B311" s="2"/>
      <c r="C311" s="2"/>
      <c r="D311" s="2"/>
      <c r="E311" s="2"/>
      <c r="F311" s="9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>
      <c r="A312" s="2"/>
      <c r="B312" s="2"/>
      <c r="C312" s="2"/>
      <c r="D312" s="2"/>
      <c r="E312" s="2"/>
      <c r="F312" s="9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>
      <c r="A313" s="2"/>
      <c r="B313" s="2"/>
      <c r="C313" s="2"/>
      <c r="D313" s="2"/>
      <c r="E313" s="2"/>
      <c r="F313" s="9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>
      <c r="A314" s="2"/>
      <c r="B314" s="2"/>
      <c r="C314" s="2"/>
      <c r="D314" s="2"/>
      <c r="E314" s="2"/>
      <c r="F314" s="9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>
      <c r="A315" s="2"/>
      <c r="B315" s="2"/>
      <c r="C315" s="2"/>
      <c r="D315" s="2"/>
      <c r="E315" s="2"/>
      <c r="F315" s="9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>
      <c r="A316" s="2"/>
      <c r="B316" s="2"/>
      <c r="C316" s="2"/>
      <c r="D316" s="2"/>
      <c r="E316" s="2"/>
      <c r="F316" s="9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>
      <c r="A317" s="2"/>
      <c r="B317" s="2"/>
      <c r="C317" s="2"/>
      <c r="D317" s="2"/>
      <c r="E317" s="2"/>
      <c r="F317" s="9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>
      <c r="A318" s="2"/>
      <c r="B318" s="2"/>
      <c r="C318" s="2"/>
      <c r="D318" s="2"/>
      <c r="E318" s="2"/>
      <c r="F318" s="9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>
      <c r="A319" s="2"/>
      <c r="B319" s="2"/>
      <c r="C319" s="2"/>
      <c r="D319" s="2"/>
      <c r="E319" s="2"/>
      <c r="F319" s="9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>
      <c r="A320" s="2"/>
      <c r="B320" s="2"/>
      <c r="C320" s="2"/>
      <c r="D320" s="2"/>
      <c r="E320" s="2"/>
      <c r="F320" s="9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>
      <c r="A321" s="2"/>
      <c r="B321" s="2"/>
      <c r="C321" s="2"/>
      <c r="D321" s="2"/>
      <c r="E321" s="2"/>
      <c r="F321" s="9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>
      <c r="A322" s="2"/>
      <c r="B322" s="2"/>
      <c r="C322" s="2"/>
      <c r="D322" s="2"/>
      <c r="E322" s="2"/>
      <c r="F322" s="9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>
      <c r="A323" s="2"/>
      <c r="B323" s="2"/>
      <c r="C323" s="2"/>
      <c r="D323" s="2"/>
      <c r="E323" s="2"/>
      <c r="F323" s="9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>
      <c r="A324" s="2"/>
      <c r="B324" s="2"/>
      <c r="C324" s="2"/>
      <c r="D324" s="2"/>
      <c r="E324" s="2"/>
      <c r="F324" s="9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>
      <c r="A325" s="2"/>
      <c r="B325" s="2"/>
      <c r="C325" s="2"/>
      <c r="D325" s="2"/>
      <c r="E325" s="2"/>
      <c r="F325" s="9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>
      <c r="A326" s="2"/>
      <c r="B326" s="2"/>
      <c r="C326" s="2"/>
      <c r="D326" s="2"/>
      <c r="E326" s="2"/>
      <c r="F326" s="9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>
      <c r="A327" s="2"/>
      <c r="B327" s="2"/>
      <c r="C327" s="2"/>
      <c r="D327" s="2"/>
      <c r="E327" s="2"/>
      <c r="F327" s="9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>
      <c r="A328" s="2"/>
      <c r="B328" s="2"/>
      <c r="C328" s="2"/>
      <c r="D328" s="2"/>
      <c r="E328" s="2"/>
      <c r="F328" s="9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>
      <c r="A329" s="2"/>
      <c r="B329" s="2"/>
      <c r="C329" s="2"/>
      <c r="D329" s="2"/>
      <c r="E329" s="2"/>
      <c r="F329" s="9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>
      <c r="A330" s="2"/>
      <c r="B330" s="2"/>
      <c r="C330" s="2"/>
      <c r="D330" s="2"/>
      <c r="E330" s="2"/>
      <c r="F330" s="9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>
      <c r="A331" s="2"/>
      <c r="B331" s="2"/>
      <c r="C331" s="2"/>
      <c r="D331" s="2"/>
      <c r="E331" s="2"/>
      <c r="F331" s="9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>
      <c r="A332" s="2"/>
      <c r="B332" s="2"/>
      <c r="C332" s="2"/>
      <c r="D332" s="2"/>
      <c r="E332" s="2"/>
      <c r="F332" s="9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>
      <c r="A333" s="2"/>
      <c r="B333" s="2"/>
      <c r="C333" s="2"/>
      <c r="D333" s="2"/>
      <c r="E333" s="2"/>
      <c r="F333" s="9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>
      <c r="A334" s="2"/>
      <c r="B334" s="2"/>
      <c r="C334" s="2"/>
      <c r="D334" s="2"/>
      <c r="E334" s="2"/>
      <c r="F334" s="9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>
      <c r="A335" s="2"/>
      <c r="B335" s="2"/>
      <c r="C335" s="2"/>
      <c r="D335" s="2"/>
      <c r="E335" s="2"/>
      <c r="F335" s="9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>
      <c r="A336" s="2"/>
      <c r="B336" s="2"/>
      <c r="C336" s="2"/>
      <c r="D336" s="2"/>
      <c r="E336" s="2"/>
      <c r="F336" s="9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>
      <c r="A337" s="2"/>
      <c r="B337" s="2"/>
      <c r="C337" s="2"/>
      <c r="D337" s="2"/>
      <c r="E337" s="2"/>
      <c r="F337" s="9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>
      <c r="A338" s="2"/>
      <c r="B338" s="2"/>
      <c r="C338" s="2"/>
      <c r="D338" s="2"/>
      <c r="E338" s="2"/>
      <c r="F338" s="9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>
      <c r="A339" s="2"/>
      <c r="B339" s="2"/>
      <c r="C339" s="2"/>
      <c r="D339" s="2"/>
      <c r="E339" s="2"/>
      <c r="F339" s="9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>
      <c r="A340" s="2"/>
      <c r="B340" s="2"/>
      <c r="C340" s="2"/>
      <c r="D340" s="2"/>
      <c r="E340" s="2"/>
      <c r="F340" s="9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>
      <c r="A341" s="2"/>
      <c r="B341" s="2"/>
      <c r="C341" s="2"/>
      <c r="D341" s="2"/>
      <c r="E341" s="2"/>
      <c r="F341" s="9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>
      <c r="A342" s="2"/>
      <c r="B342" s="2"/>
      <c r="C342" s="2"/>
      <c r="D342" s="2"/>
      <c r="E342" s="2"/>
      <c r="F342" s="9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>
      <c r="A343" s="2"/>
      <c r="B343" s="2"/>
      <c r="C343" s="2"/>
      <c r="D343" s="2"/>
      <c r="E343" s="2"/>
      <c r="F343" s="9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>
      <c r="A344" s="2"/>
      <c r="B344" s="2"/>
      <c r="C344" s="2"/>
      <c r="D344" s="2"/>
      <c r="E344" s="2"/>
      <c r="F344" s="9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>
      <c r="A345" s="2"/>
      <c r="B345" s="2"/>
      <c r="C345" s="2"/>
      <c r="D345" s="2"/>
      <c r="E345" s="2"/>
      <c r="F345" s="9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>
      <c r="A346" s="2"/>
      <c r="B346" s="2"/>
      <c r="C346" s="2"/>
      <c r="D346" s="2"/>
      <c r="E346" s="2"/>
      <c r="F346" s="9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>
      <c r="A347" s="2"/>
      <c r="B347" s="2"/>
      <c r="C347" s="2"/>
      <c r="D347" s="2"/>
      <c r="E347" s="2"/>
      <c r="F347" s="9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>
      <c r="A348" s="2"/>
      <c r="B348" s="2"/>
      <c r="C348" s="2"/>
      <c r="D348" s="2"/>
      <c r="E348" s="2"/>
      <c r="F348" s="9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>
      <c r="A349" s="2"/>
      <c r="B349" s="2"/>
      <c r="C349" s="2"/>
      <c r="D349" s="2"/>
      <c r="E349" s="2"/>
      <c r="F349" s="9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>
      <c r="A350" s="2"/>
      <c r="B350" s="2"/>
      <c r="C350" s="2"/>
      <c r="D350" s="2"/>
      <c r="E350" s="2"/>
      <c r="F350" s="9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>
      <c r="A351" s="2"/>
      <c r="B351" s="2"/>
      <c r="C351" s="2"/>
      <c r="D351" s="2"/>
      <c r="E351" s="2"/>
      <c r="F351" s="9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>
      <c r="A352" s="2"/>
      <c r="B352" s="2"/>
      <c r="C352" s="2"/>
      <c r="D352" s="2"/>
      <c r="E352" s="2"/>
      <c r="F352" s="9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>
      <c r="A353" s="2"/>
      <c r="B353" s="2"/>
      <c r="C353" s="2"/>
      <c r="D353" s="2"/>
      <c r="E353" s="2"/>
      <c r="F353" s="9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>
      <c r="A354" s="2"/>
      <c r="B354" s="2"/>
      <c r="C354" s="2"/>
      <c r="D354" s="2"/>
      <c r="E354" s="2"/>
      <c r="F354" s="9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>
      <c r="A355" s="2"/>
      <c r="B355" s="2"/>
      <c r="C355" s="2"/>
      <c r="D355" s="2"/>
      <c r="E355" s="2"/>
      <c r="F355" s="9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>
      <c r="A356" s="2"/>
      <c r="B356" s="2"/>
      <c r="C356" s="2"/>
      <c r="D356" s="2"/>
      <c r="E356" s="2"/>
      <c r="F356" s="9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>
      <c r="A357" s="2"/>
      <c r="B357" s="2"/>
      <c r="C357" s="2"/>
      <c r="D357" s="2"/>
      <c r="E357" s="2"/>
      <c r="F357" s="9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>
      <c r="A358" s="2"/>
      <c r="B358" s="2"/>
      <c r="C358" s="2"/>
      <c r="D358" s="2"/>
      <c r="E358" s="2"/>
      <c r="F358" s="9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>
      <c r="A359" s="2"/>
      <c r="B359" s="2"/>
      <c r="C359" s="2"/>
      <c r="D359" s="2"/>
      <c r="E359" s="2"/>
      <c r="F359" s="9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>
      <c r="A360" s="2"/>
      <c r="B360" s="2"/>
      <c r="C360" s="2"/>
      <c r="D360" s="2"/>
      <c r="E360" s="2"/>
      <c r="F360" s="9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>
      <c r="A361" s="2"/>
      <c r="B361" s="2"/>
      <c r="C361" s="2"/>
      <c r="D361" s="2"/>
      <c r="E361" s="2"/>
      <c r="F361" s="9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>
      <c r="A362" s="2"/>
      <c r="B362" s="2"/>
      <c r="C362" s="2"/>
      <c r="D362" s="2"/>
      <c r="E362" s="2"/>
      <c r="F362" s="9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>
      <c r="A363" s="2"/>
      <c r="B363" s="2"/>
      <c r="C363" s="2"/>
      <c r="D363" s="2"/>
      <c r="E363" s="2"/>
      <c r="F363" s="9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>
      <c r="A364" s="2"/>
      <c r="B364" s="2"/>
      <c r="C364" s="2"/>
      <c r="D364" s="2"/>
      <c r="E364" s="2"/>
      <c r="F364" s="9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>
      <c r="A365" s="2"/>
      <c r="B365" s="2"/>
      <c r="C365" s="2"/>
      <c r="D365" s="2"/>
      <c r="E365" s="2"/>
      <c r="F365" s="9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>
      <c r="A366" s="2"/>
      <c r="B366" s="2"/>
      <c r="C366" s="2"/>
      <c r="D366" s="2"/>
      <c r="E366" s="2"/>
      <c r="F366" s="9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>
      <c r="A367" s="2"/>
      <c r="B367" s="2"/>
      <c r="C367" s="2"/>
      <c r="D367" s="2"/>
      <c r="E367" s="2"/>
      <c r="F367" s="9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>
      <c r="A368" s="2"/>
      <c r="B368" s="2"/>
      <c r="C368" s="2"/>
      <c r="D368" s="2"/>
      <c r="E368" s="2"/>
      <c r="F368" s="9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>
      <c r="A369" s="2"/>
      <c r="B369" s="2"/>
      <c r="C369" s="2"/>
      <c r="D369" s="2"/>
      <c r="E369" s="2"/>
      <c r="F369" s="9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>
      <c r="A370" s="2"/>
      <c r="B370" s="2"/>
      <c r="C370" s="2"/>
      <c r="D370" s="2"/>
      <c r="E370" s="2"/>
      <c r="F370" s="9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>
      <c r="A371" s="2"/>
      <c r="B371" s="2"/>
      <c r="C371" s="2"/>
      <c r="D371" s="2"/>
      <c r="E371" s="2"/>
      <c r="F371" s="9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>
      <c r="A372" s="2"/>
      <c r="B372" s="2"/>
      <c r="C372" s="2"/>
      <c r="D372" s="2"/>
      <c r="E372" s="2"/>
      <c r="F372" s="9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>
      <c r="A373" s="2"/>
      <c r="B373" s="2"/>
      <c r="C373" s="2"/>
      <c r="D373" s="2"/>
      <c r="E373" s="2"/>
      <c r="F373" s="9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>
      <c r="A374" s="2"/>
      <c r="B374" s="2"/>
      <c r="C374" s="2"/>
      <c r="D374" s="2"/>
      <c r="E374" s="2"/>
      <c r="F374" s="9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>
      <c r="A375" s="2"/>
      <c r="B375" s="2"/>
      <c r="C375" s="2"/>
      <c r="D375" s="2"/>
      <c r="E375" s="2"/>
      <c r="F375" s="9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>
      <c r="A376" s="2"/>
      <c r="B376" s="2"/>
      <c r="C376" s="2"/>
      <c r="D376" s="2"/>
      <c r="E376" s="2"/>
      <c r="F376" s="9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>
      <c r="A377" s="2"/>
      <c r="B377" s="2"/>
      <c r="C377" s="2"/>
      <c r="D377" s="2"/>
      <c r="E377" s="2"/>
      <c r="F377" s="9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>
      <c r="A378" s="2"/>
      <c r="B378" s="2"/>
      <c r="C378" s="2"/>
      <c r="D378" s="2"/>
      <c r="E378" s="2"/>
      <c r="F378" s="9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>
      <c r="A379" s="2"/>
      <c r="B379" s="2"/>
      <c r="C379" s="2"/>
      <c r="D379" s="2"/>
      <c r="E379" s="2"/>
      <c r="F379" s="9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>
      <c r="A380" s="2"/>
      <c r="B380" s="2"/>
      <c r="C380" s="2"/>
      <c r="D380" s="2"/>
      <c r="E380" s="2"/>
      <c r="F380" s="9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>
      <c r="A381" s="2"/>
      <c r="B381" s="2"/>
      <c r="C381" s="2"/>
      <c r="D381" s="2"/>
      <c r="E381" s="2"/>
      <c r="F381" s="9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>
      <c r="A382" s="2"/>
      <c r="B382" s="2"/>
      <c r="C382" s="2"/>
      <c r="D382" s="2"/>
      <c r="E382" s="2"/>
      <c r="F382" s="9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>
      <c r="A383" s="2"/>
      <c r="B383" s="2"/>
      <c r="C383" s="2"/>
      <c r="D383" s="2"/>
      <c r="E383" s="2"/>
      <c r="F383" s="9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>
      <c r="A384" s="2"/>
      <c r="B384" s="2"/>
      <c r="C384" s="2"/>
      <c r="D384" s="2"/>
      <c r="E384" s="2"/>
      <c r="F384" s="9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>
      <c r="A385" s="2"/>
      <c r="B385" s="2"/>
      <c r="C385" s="2"/>
      <c r="D385" s="2"/>
      <c r="E385" s="2"/>
      <c r="F385" s="9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>
      <c r="A386" s="2"/>
      <c r="B386" s="2"/>
      <c r="C386" s="2"/>
      <c r="D386" s="2"/>
      <c r="E386" s="2"/>
      <c r="F386" s="9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>
      <c r="A387" s="2"/>
      <c r="B387" s="2"/>
      <c r="C387" s="2"/>
      <c r="D387" s="2"/>
      <c r="E387" s="2"/>
      <c r="F387" s="9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>
      <c r="A388" s="2"/>
      <c r="B388" s="2"/>
      <c r="C388" s="2"/>
      <c r="D388" s="2"/>
      <c r="E388" s="2"/>
      <c r="F388" s="9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>
      <c r="A389" s="2"/>
      <c r="B389" s="2"/>
      <c r="C389" s="2"/>
      <c r="D389" s="2"/>
      <c r="E389" s="2"/>
      <c r="F389" s="9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>
      <c r="A390" s="2"/>
      <c r="B390" s="2"/>
      <c r="C390" s="2"/>
      <c r="D390" s="2"/>
      <c r="E390" s="2"/>
      <c r="F390" s="9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>
      <c r="A391" s="2"/>
      <c r="B391" s="2"/>
      <c r="C391" s="2"/>
      <c r="D391" s="2"/>
      <c r="E391" s="2"/>
      <c r="F391" s="9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>
      <c r="A392" s="2"/>
      <c r="B392" s="2"/>
      <c r="C392" s="2"/>
      <c r="D392" s="2"/>
      <c r="E392" s="2"/>
      <c r="F392" s="9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>
      <c r="A393" s="2"/>
      <c r="B393" s="2"/>
      <c r="C393" s="2"/>
      <c r="D393" s="2"/>
      <c r="E393" s="2"/>
      <c r="F393" s="9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>
      <c r="A394" s="2"/>
      <c r="B394" s="2"/>
      <c r="C394" s="2"/>
      <c r="D394" s="2"/>
      <c r="E394" s="2"/>
      <c r="F394" s="9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>
      <c r="A395" s="2"/>
      <c r="B395" s="2"/>
      <c r="C395" s="2"/>
      <c r="D395" s="2"/>
      <c r="E395" s="2"/>
      <c r="F395" s="9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>
      <c r="A396" s="2"/>
      <c r="B396" s="2"/>
      <c r="C396" s="2"/>
      <c r="D396" s="2"/>
      <c r="E396" s="2"/>
      <c r="F396" s="9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>
      <c r="A397" s="2"/>
      <c r="B397" s="2"/>
      <c r="C397" s="2"/>
      <c r="D397" s="2"/>
      <c r="E397" s="2"/>
      <c r="F397" s="9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>
      <c r="A398" s="2"/>
      <c r="B398" s="2"/>
      <c r="C398" s="2"/>
      <c r="D398" s="2"/>
      <c r="E398" s="2"/>
      <c r="F398" s="9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>
      <c r="A399" s="2"/>
      <c r="B399" s="2"/>
      <c r="C399" s="2"/>
      <c r="D399" s="2"/>
      <c r="E399" s="2"/>
      <c r="F399" s="9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>
      <c r="A400" s="2"/>
      <c r="B400" s="2"/>
      <c r="C400" s="2"/>
      <c r="D400" s="2"/>
      <c r="E400" s="2"/>
      <c r="F400" s="9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>
      <c r="A401" s="2"/>
      <c r="B401" s="2"/>
      <c r="C401" s="2"/>
      <c r="D401" s="2"/>
      <c r="E401" s="2"/>
      <c r="F401" s="9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>
      <c r="A402" s="2"/>
      <c r="B402" s="2"/>
      <c r="C402" s="2"/>
      <c r="D402" s="2"/>
      <c r="E402" s="2"/>
      <c r="F402" s="9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>
      <c r="A403" s="2"/>
      <c r="B403" s="2"/>
      <c r="C403" s="2"/>
      <c r="D403" s="2"/>
      <c r="E403" s="2"/>
      <c r="F403" s="9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>
      <c r="A404" s="2"/>
      <c r="B404" s="2"/>
      <c r="C404" s="2"/>
      <c r="D404" s="2"/>
      <c r="E404" s="2"/>
      <c r="F404" s="9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>
      <c r="A405" s="2"/>
      <c r="B405" s="2"/>
      <c r="C405" s="2"/>
      <c r="D405" s="2"/>
      <c r="E405" s="2"/>
      <c r="F405" s="9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>
      <c r="A406" s="2"/>
      <c r="B406" s="2"/>
      <c r="C406" s="2"/>
      <c r="D406" s="2"/>
      <c r="E406" s="2"/>
      <c r="F406" s="9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>
      <c r="A407" s="2"/>
      <c r="B407" s="2"/>
      <c r="C407" s="2"/>
      <c r="D407" s="2"/>
      <c r="E407" s="2"/>
      <c r="F407" s="9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>
      <c r="A408" s="2"/>
      <c r="B408" s="2"/>
      <c r="C408" s="2"/>
      <c r="D408" s="2"/>
      <c r="E408" s="2"/>
      <c r="F408" s="9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>
      <c r="A409" s="2"/>
      <c r="B409" s="2"/>
      <c r="C409" s="2"/>
      <c r="D409" s="2"/>
      <c r="E409" s="2"/>
      <c r="F409" s="9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>
      <c r="A410" s="2"/>
      <c r="B410" s="2"/>
      <c r="C410" s="2"/>
      <c r="D410" s="2"/>
      <c r="E410" s="2"/>
      <c r="F410" s="9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>
      <c r="A411" s="2"/>
      <c r="B411" s="2"/>
      <c r="C411" s="2"/>
      <c r="D411" s="2"/>
      <c r="E411" s="2"/>
      <c r="F411" s="9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>
      <c r="A412" s="2"/>
      <c r="B412" s="2"/>
      <c r="C412" s="2"/>
      <c r="D412" s="2"/>
      <c r="E412" s="2"/>
      <c r="F412" s="9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>
      <c r="A413" s="2"/>
      <c r="B413" s="2"/>
      <c r="C413" s="2"/>
      <c r="D413" s="2"/>
      <c r="E413" s="2"/>
      <c r="F413" s="9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>
      <c r="A414" s="2"/>
      <c r="B414" s="2"/>
      <c r="C414" s="2"/>
      <c r="D414" s="2"/>
      <c r="E414" s="2"/>
      <c r="F414" s="9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>
      <c r="A415" s="2"/>
      <c r="B415" s="2"/>
      <c r="C415" s="2"/>
      <c r="D415" s="2"/>
      <c r="E415" s="2"/>
      <c r="F415" s="9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>
      <c r="A416" s="2"/>
      <c r="B416" s="2"/>
      <c r="C416" s="2"/>
      <c r="D416" s="2"/>
      <c r="E416" s="2"/>
      <c r="F416" s="9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>
      <c r="A417" s="2"/>
      <c r="B417" s="2"/>
      <c r="C417" s="2"/>
      <c r="D417" s="2"/>
      <c r="E417" s="2"/>
      <c r="F417" s="9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>
      <c r="A418" s="2"/>
      <c r="B418" s="2"/>
      <c r="C418" s="2"/>
      <c r="D418" s="2"/>
      <c r="E418" s="2"/>
      <c r="F418" s="9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>
      <c r="A419" s="2"/>
      <c r="B419" s="2"/>
      <c r="C419" s="2"/>
      <c r="D419" s="2"/>
      <c r="E419" s="2"/>
      <c r="F419" s="9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>
      <c r="A420" s="2"/>
      <c r="B420" s="2"/>
      <c r="C420" s="2"/>
      <c r="D420" s="2"/>
      <c r="E420" s="2"/>
      <c r="F420" s="9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>
      <c r="A421" s="2"/>
      <c r="B421" s="2"/>
      <c r="C421" s="2"/>
      <c r="D421" s="2"/>
      <c r="E421" s="2"/>
      <c r="F421" s="9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>
      <c r="A422" s="2"/>
      <c r="B422" s="2"/>
      <c r="C422" s="2"/>
      <c r="D422" s="2"/>
      <c r="E422" s="2"/>
      <c r="F422" s="9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>
      <c r="A423" s="2"/>
      <c r="B423" s="2"/>
      <c r="C423" s="2"/>
      <c r="D423" s="2"/>
      <c r="E423" s="2"/>
      <c r="F423" s="9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>
      <c r="A424" s="2"/>
      <c r="B424" s="2"/>
      <c r="C424" s="2"/>
      <c r="D424" s="2"/>
      <c r="E424" s="2"/>
      <c r="F424" s="9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>
      <c r="A425" s="2"/>
      <c r="B425" s="2"/>
      <c r="C425" s="2"/>
      <c r="D425" s="2"/>
      <c r="E425" s="2"/>
      <c r="F425" s="9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>
      <c r="A426" s="2"/>
      <c r="B426" s="2"/>
      <c r="C426" s="2"/>
      <c r="D426" s="2"/>
      <c r="E426" s="2"/>
      <c r="F426" s="9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>
      <c r="A427" s="2"/>
      <c r="B427" s="2"/>
      <c r="C427" s="2"/>
      <c r="D427" s="2"/>
      <c r="E427" s="2"/>
      <c r="F427" s="9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>
      <c r="A428" s="2"/>
      <c r="B428" s="2"/>
      <c r="C428" s="2"/>
      <c r="D428" s="2"/>
      <c r="E428" s="2"/>
      <c r="F428" s="9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>
      <c r="A429" s="2"/>
      <c r="B429" s="2"/>
      <c r="C429" s="2"/>
      <c r="D429" s="2"/>
      <c r="E429" s="2"/>
      <c r="F429" s="9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>
      <c r="A430" s="2"/>
      <c r="B430" s="2"/>
      <c r="C430" s="2"/>
      <c r="D430" s="2"/>
      <c r="E430" s="2"/>
      <c r="F430" s="9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>
      <c r="A431" s="2"/>
      <c r="B431" s="2"/>
      <c r="C431" s="2"/>
      <c r="D431" s="2"/>
      <c r="E431" s="2"/>
      <c r="F431" s="9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>
      <c r="A432" s="2"/>
      <c r="B432" s="2"/>
      <c r="C432" s="2"/>
      <c r="D432" s="2"/>
      <c r="E432" s="2"/>
      <c r="F432" s="9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>
      <c r="A433" s="2"/>
      <c r="B433" s="2"/>
      <c r="C433" s="2"/>
      <c r="D433" s="2"/>
      <c r="E433" s="2"/>
      <c r="F433" s="9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>
      <c r="A434" s="2"/>
      <c r="B434" s="2"/>
      <c r="C434" s="2"/>
      <c r="D434" s="2"/>
      <c r="E434" s="2"/>
      <c r="F434" s="9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>
      <c r="A435" s="2"/>
      <c r="B435" s="2"/>
      <c r="C435" s="2"/>
      <c r="D435" s="2"/>
      <c r="E435" s="2"/>
      <c r="F435" s="9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>
      <c r="A436" s="2"/>
      <c r="B436" s="2"/>
      <c r="C436" s="2"/>
      <c r="D436" s="2"/>
      <c r="E436" s="2"/>
      <c r="F436" s="9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>
      <c r="A437" s="2"/>
      <c r="B437" s="2"/>
      <c r="C437" s="2"/>
      <c r="D437" s="2"/>
      <c r="E437" s="2"/>
      <c r="F437" s="9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>
      <c r="A438" s="2"/>
      <c r="B438" s="2"/>
      <c r="C438" s="2"/>
      <c r="D438" s="2"/>
      <c r="E438" s="2"/>
      <c r="F438" s="9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>
      <c r="A439" s="2"/>
      <c r="B439" s="2"/>
      <c r="C439" s="2"/>
      <c r="D439" s="2"/>
      <c r="E439" s="2"/>
      <c r="F439" s="9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>
      <c r="A440" s="2"/>
      <c r="B440" s="2"/>
      <c r="C440" s="2"/>
      <c r="D440" s="2"/>
      <c r="E440" s="2"/>
      <c r="F440" s="9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>
      <c r="A441" s="2"/>
      <c r="B441" s="2"/>
      <c r="C441" s="2"/>
      <c r="D441" s="2"/>
      <c r="E441" s="2"/>
      <c r="F441" s="9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>
      <c r="A442" s="2"/>
      <c r="B442" s="2"/>
      <c r="C442" s="2"/>
      <c r="D442" s="2"/>
      <c r="E442" s="2"/>
      <c r="F442" s="9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>
      <c r="A443" s="2"/>
      <c r="B443" s="2"/>
      <c r="C443" s="2"/>
      <c r="D443" s="2"/>
      <c r="E443" s="2"/>
      <c r="F443" s="9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>
      <c r="A444" s="2"/>
      <c r="B444" s="2"/>
      <c r="C444" s="2"/>
      <c r="D444" s="2"/>
      <c r="E444" s="2"/>
      <c r="F444" s="9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>
      <c r="A445" s="2"/>
      <c r="B445" s="2"/>
      <c r="C445" s="2"/>
      <c r="D445" s="2"/>
      <c r="E445" s="2"/>
      <c r="F445" s="9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>
      <c r="A446" s="2"/>
      <c r="B446" s="2"/>
      <c r="C446" s="2"/>
      <c r="D446" s="2"/>
      <c r="E446" s="2"/>
      <c r="F446" s="9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>
      <c r="A447" s="2"/>
      <c r="B447" s="2"/>
      <c r="C447" s="2"/>
      <c r="D447" s="2"/>
      <c r="E447" s="2"/>
      <c r="F447" s="9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>
      <c r="A448" s="2"/>
      <c r="B448" s="2"/>
      <c r="C448" s="2"/>
      <c r="D448" s="2"/>
      <c r="E448" s="2"/>
      <c r="F448" s="9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>
      <c r="A449" s="2"/>
      <c r="B449" s="2"/>
      <c r="C449" s="2"/>
      <c r="D449" s="2"/>
      <c r="E449" s="2"/>
      <c r="F449" s="9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>
      <c r="A450" s="2"/>
      <c r="B450" s="2"/>
      <c r="C450" s="2"/>
      <c r="D450" s="2"/>
      <c r="E450" s="2"/>
      <c r="F450" s="9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>
      <c r="A451" s="2"/>
      <c r="B451" s="2"/>
      <c r="C451" s="2"/>
      <c r="D451" s="2"/>
      <c r="E451" s="2"/>
      <c r="F451" s="9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>
      <c r="A452" s="2"/>
      <c r="B452" s="2"/>
      <c r="C452" s="2"/>
      <c r="D452" s="2"/>
      <c r="E452" s="2"/>
      <c r="F452" s="9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>
      <c r="A453" s="2"/>
      <c r="B453" s="2"/>
      <c r="C453" s="2"/>
      <c r="D453" s="2"/>
      <c r="E453" s="2"/>
      <c r="F453" s="9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>
      <c r="A454" s="2"/>
      <c r="B454" s="2"/>
      <c r="C454" s="2"/>
      <c r="D454" s="2"/>
      <c r="E454" s="2"/>
      <c r="F454" s="9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>
      <c r="A455" s="2"/>
      <c r="B455" s="2"/>
      <c r="C455" s="2"/>
      <c r="D455" s="2"/>
      <c r="E455" s="2"/>
      <c r="F455" s="9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>
      <c r="A456" s="2"/>
      <c r="B456" s="2"/>
      <c r="C456" s="2"/>
      <c r="D456" s="2"/>
      <c r="E456" s="2"/>
      <c r="F456" s="9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>
      <c r="A457" s="2"/>
      <c r="B457" s="2"/>
      <c r="C457" s="2"/>
      <c r="D457" s="2"/>
      <c r="E457" s="2"/>
      <c r="F457" s="9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>
      <c r="A458" s="2"/>
      <c r="B458" s="2"/>
      <c r="C458" s="2"/>
      <c r="D458" s="2"/>
      <c r="E458" s="2"/>
      <c r="F458" s="9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>
      <c r="A459" s="2"/>
      <c r="B459" s="2"/>
      <c r="C459" s="2"/>
      <c r="D459" s="2"/>
      <c r="E459" s="2"/>
      <c r="F459" s="9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>
      <c r="A460" s="2"/>
      <c r="B460" s="2"/>
      <c r="C460" s="2"/>
      <c r="D460" s="2"/>
      <c r="E460" s="2"/>
      <c r="F460" s="9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>
      <c r="A461" s="2"/>
      <c r="B461" s="2"/>
      <c r="C461" s="2"/>
      <c r="D461" s="2"/>
      <c r="E461" s="2"/>
      <c r="F461" s="9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>
      <c r="A462" s="2"/>
      <c r="B462" s="2"/>
      <c r="C462" s="2"/>
      <c r="D462" s="2"/>
      <c r="E462" s="2"/>
      <c r="F462" s="9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>
      <c r="A463" s="2"/>
      <c r="B463" s="2"/>
      <c r="C463" s="2"/>
      <c r="D463" s="2"/>
      <c r="E463" s="2"/>
      <c r="F463" s="9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>
      <c r="A464" s="2"/>
      <c r="B464" s="2"/>
      <c r="C464" s="2"/>
      <c r="D464" s="2"/>
      <c r="E464" s="2"/>
      <c r="F464" s="9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>
      <c r="A465" s="2"/>
      <c r="B465" s="2"/>
      <c r="C465" s="2"/>
      <c r="D465" s="2"/>
      <c r="E465" s="2"/>
      <c r="F465" s="9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>
      <c r="A466" s="2"/>
      <c r="B466" s="2"/>
      <c r="C466" s="2"/>
      <c r="D466" s="2"/>
      <c r="E466" s="2"/>
      <c r="F466" s="9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>
      <c r="A467" s="2"/>
      <c r="B467" s="2"/>
      <c r="C467" s="2"/>
      <c r="D467" s="2"/>
      <c r="E467" s="2"/>
      <c r="F467" s="9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>
      <c r="A468" s="2"/>
      <c r="B468" s="2"/>
      <c r="C468" s="2"/>
      <c r="D468" s="2"/>
      <c r="E468" s="2"/>
      <c r="F468" s="9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>
      <c r="A469" s="2"/>
      <c r="B469" s="2"/>
      <c r="C469" s="2"/>
      <c r="D469" s="2"/>
      <c r="E469" s="2"/>
      <c r="F469" s="9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>
      <c r="A470" s="2"/>
      <c r="B470" s="2"/>
      <c r="C470" s="2"/>
      <c r="D470" s="2"/>
      <c r="E470" s="2"/>
      <c r="F470" s="9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>
      <c r="A471" s="2"/>
      <c r="B471" s="2"/>
      <c r="C471" s="2"/>
      <c r="D471" s="2"/>
      <c r="E471" s="2"/>
      <c r="F471" s="9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>
      <c r="A472" s="2"/>
      <c r="B472" s="2"/>
      <c r="C472" s="2"/>
      <c r="D472" s="2"/>
      <c r="E472" s="2"/>
      <c r="F472" s="9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>
      <c r="A473" s="2"/>
      <c r="B473" s="2"/>
      <c r="C473" s="2"/>
      <c r="D473" s="2"/>
      <c r="E473" s="2"/>
      <c r="F473" s="9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>
      <c r="A474" s="2"/>
      <c r="B474" s="2"/>
      <c r="C474" s="2"/>
      <c r="D474" s="2"/>
      <c r="E474" s="2"/>
      <c r="F474" s="9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>
      <c r="A475" s="2"/>
      <c r="B475" s="2"/>
      <c r="C475" s="2"/>
      <c r="D475" s="2"/>
      <c r="E475" s="2"/>
      <c r="F475" s="9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>
      <c r="A476" s="2"/>
      <c r="B476" s="2"/>
      <c r="C476" s="2"/>
      <c r="D476" s="2"/>
      <c r="E476" s="2"/>
      <c r="F476" s="9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>
      <c r="A477" s="2"/>
      <c r="B477" s="2"/>
      <c r="C477" s="2"/>
      <c r="D477" s="2"/>
      <c r="E477" s="2"/>
      <c r="F477" s="9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>
      <c r="A478" s="2"/>
      <c r="B478" s="2"/>
      <c r="C478" s="2"/>
      <c r="D478" s="2"/>
      <c r="E478" s="2"/>
      <c r="F478" s="9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>
      <c r="A479" s="2"/>
      <c r="B479" s="2"/>
      <c r="C479" s="2"/>
      <c r="D479" s="2"/>
      <c r="E479" s="2"/>
      <c r="F479" s="9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>
      <c r="A480" s="2"/>
      <c r="B480" s="2"/>
      <c r="C480" s="2"/>
      <c r="D480" s="2"/>
      <c r="E480" s="2"/>
      <c r="F480" s="9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>
      <c r="A481" s="2"/>
      <c r="B481" s="2"/>
      <c r="C481" s="2"/>
      <c r="D481" s="2"/>
      <c r="E481" s="2"/>
      <c r="F481" s="9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>
      <c r="A482" s="2"/>
      <c r="B482" s="2"/>
      <c r="C482" s="2"/>
      <c r="D482" s="2"/>
      <c r="E482" s="2"/>
      <c r="F482" s="9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>
      <c r="A483" s="2"/>
      <c r="B483" s="2"/>
      <c r="C483" s="2"/>
      <c r="D483" s="2"/>
      <c r="E483" s="2"/>
      <c r="F483" s="9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>
      <c r="A484" s="2"/>
      <c r="B484" s="2"/>
      <c r="C484" s="2"/>
      <c r="D484" s="2"/>
      <c r="E484" s="2"/>
      <c r="F484" s="9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>
      <c r="A485" s="2"/>
      <c r="B485" s="2"/>
      <c r="C485" s="2"/>
      <c r="D485" s="2"/>
      <c r="E485" s="2"/>
      <c r="F485" s="9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>
      <c r="A486" s="2"/>
      <c r="B486" s="2"/>
      <c r="C486" s="2"/>
      <c r="D486" s="2"/>
      <c r="E486" s="2"/>
      <c r="F486" s="9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>
      <c r="A487" s="2"/>
      <c r="B487" s="2"/>
      <c r="C487" s="2"/>
      <c r="D487" s="2"/>
      <c r="E487" s="2"/>
      <c r="F487" s="9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>
      <c r="A488" s="2"/>
      <c r="B488" s="2"/>
      <c r="C488" s="2"/>
      <c r="D488" s="2"/>
      <c r="E488" s="2"/>
      <c r="F488" s="9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>
      <c r="A489" s="2"/>
      <c r="B489" s="2"/>
      <c r="C489" s="2"/>
      <c r="D489" s="2"/>
      <c r="E489" s="2"/>
      <c r="F489" s="9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>
      <c r="A490" s="2"/>
      <c r="B490" s="2"/>
      <c r="C490" s="2"/>
      <c r="D490" s="2"/>
      <c r="E490" s="2"/>
      <c r="F490" s="9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>
      <c r="A491" s="2"/>
      <c r="B491" s="2"/>
      <c r="C491" s="2"/>
      <c r="D491" s="2"/>
      <c r="E491" s="2"/>
      <c r="F491" s="9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>
      <c r="A492" s="2"/>
      <c r="B492" s="2"/>
      <c r="C492" s="2"/>
      <c r="D492" s="2"/>
      <c r="E492" s="2"/>
      <c r="F492" s="9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>
      <c r="A493" s="2"/>
      <c r="B493" s="2"/>
      <c r="C493" s="2"/>
      <c r="D493" s="2"/>
      <c r="E493" s="2"/>
      <c r="F493" s="9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>
      <c r="A494" s="2"/>
      <c r="B494" s="2"/>
      <c r="C494" s="2"/>
      <c r="D494" s="2"/>
      <c r="E494" s="2"/>
      <c r="F494" s="9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>
      <c r="A495" s="2"/>
      <c r="B495" s="2"/>
      <c r="C495" s="2"/>
      <c r="D495" s="2"/>
      <c r="E495" s="2"/>
      <c r="F495" s="9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>
      <c r="A496" s="2"/>
      <c r="B496" s="2"/>
      <c r="C496" s="2"/>
      <c r="D496" s="2"/>
      <c r="E496" s="2"/>
      <c r="F496" s="9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>
      <c r="A497" s="2"/>
      <c r="B497" s="2"/>
      <c r="C497" s="2"/>
      <c r="D497" s="2"/>
      <c r="E497" s="2"/>
      <c r="F497" s="9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>
      <c r="A498" s="2"/>
      <c r="B498" s="2"/>
      <c r="C498" s="2"/>
      <c r="D498" s="2"/>
      <c r="E498" s="2"/>
      <c r="F498" s="9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>
      <c r="A499" s="2"/>
      <c r="B499" s="2"/>
      <c r="C499" s="2"/>
      <c r="D499" s="2"/>
      <c r="E499" s="2"/>
      <c r="F499" s="9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>
      <c r="A500" s="2"/>
      <c r="B500" s="2"/>
      <c r="C500" s="2"/>
      <c r="D500" s="2"/>
      <c r="E500" s="2"/>
      <c r="F500" s="9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>
      <c r="A501" s="2"/>
      <c r="B501" s="2"/>
      <c r="C501" s="2"/>
      <c r="D501" s="2"/>
      <c r="E501" s="2"/>
      <c r="F501" s="9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>
      <c r="A502" s="2"/>
      <c r="B502" s="2"/>
      <c r="C502" s="2"/>
      <c r="D502" s="2"/>
      <c r="E502" s="2"/>
      <c r="F502" s="9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>
      <c r="A503" s="2"/>
      <c r="B503" s="2"/>
      <c r="C503" s="2"/>
      <c r="D503" s="2"/>
      <c r="E503" s="2"/>
      <c r="F503" s="9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>
      <c r="A504" s="2"/>
      <c r="B504" s="2"/>
      <c r="C504" s="2"/>
      <c r="D504" s="2"/>
      <c r="E504" s="2"/>
      <c r="F504" s="9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>
      <c r="A505" s="2"/>
      <c r="B505" s="2"/>
      <c r="C505" s="2"/>
      <c r="D505" s="2"/>
      <c r="E505" s="2"/>
      <c r="F505" s="9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>
      <c r="A506" s="2"/>
      <c r="B506" s="2"/>
      <c r="C506" s="2"/>
      <c r="D506" s="2"/>
      <c r="E506" s="2"/>
      <c r="F506" s="9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>
      <c r="A507" s="2"/>
      <c r="B507" s="2"/>
      <c r="C507" s="2"/>
      <c r="D507" s="2"/>
      <c r="E507" s="2"/>
      <c r="F507" s="9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>
      <c r="A508" s="2"/>
      <c r="B508" s="2"/>
      <c r="C508" s="2"/>
      <c r="D508" s="2"/>
      <c r="E508" s="2"/>
      <c r="F508" s="9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>
      <c r="A509" s="2"/>
      <c r="B509" s="2"/>
      <c r="C509" s="2"/>
      <c r="D509" s="2"/>
      <c r="E509" s="2"/>
      <c r="F509" s="9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>
      <c r="A510" s="2"/>
      <c r="B510" s="2"/>
      <c r="C510" s="2"/>
      <c r="D510" s="2"/>
      <c r="E510" s="2"/>
      <c r="F510" s="9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>
      <c r="A511" s="2"/>
      <c r="B511" s="2"/>
      <c r="C511" s="2"/>
      <c r="D511" s="2"/>
      <c r="E511" s="2"/>
      <c r="F511" s="9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>
      <c r="A512" s="2"/>
      <c r="B512" s="2"/>
      <c r="C512" s="2"/>
      <c r="D512" s="2"/>
      <c r="E512" s="2"/>
      <c r="F512" s="9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>
      <c r="A513" s="2"/>
      <c r="B513" s="2"/>
      <c r="C513" s="2"/>
      <c r="D513" s="2"/>
      <c r="E513" s="2"/>
      <c r="F513" s="9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>
      <c r="A514" s="2"/>
      <c r="B514" s="2"/>
      <c r="C514" s="2"/>
      <c r="D514" s="2"/>
      <c r="E514" s="2"/>
      <c r="F514" s="9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>
      <c r="A515" s="2"/>
      <c r="B515" s="2"/>
      <c r="C515" s="2"/>
      <c r="D515" s="2"/>
      <c r="E515" s="2"/>
      <c r="F515" s="9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>
      <c r="A516" s="2"/>
      <c r="B516" s="2"/>
      <c r="C516" s="2"/>
      <c r="D516" s="2"/>
      <c r="E516" s="2"/>
      <c r="F516" s="9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>
      <c r="A517" s="2"/>
      <c r="B517" s="2"/>
      <c r="C517" s="2"/>
      <c r="D517" s="2"/>
      <c r="E517" s="2"/>
      <c r="F517" s="9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>
      <c r="A518" s="2"/>
      <c r="B518" s="2"/>
      <c r="C518" s="2"/>
      <c r="D518" s="2"/>
      <c r="E518" s="2"/>
      <c r="F518" s="9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>
      <c r="A519" s="2"/>
      <c r="B519" s="2"/>
      <c r="C519" s="2"/>
      <c r="D519" s="2"/>
      <c r="E519" s="2"/>
      <c r="F519" s="9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>
      <c r="A520" s="2"/>
      <c r="B520" s="2"/>
      <c r="C520" s="2"/>
      <c r="D520" s="2"/>
      <c r="E520" s="2"/>
      <c r="F520" s="9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>
      <c r="A521" s="2"/>
      <c r="B521" s="2"/>
      <c r="C521" s="2"/>
      <c r="D521" s="2"/>
      <c r="E521" s="2"/>
      <c r="F521" s="9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>
      <c r="A522" s="2"/>
      <c r="B522" s="2"/>
      <c r="C522" s="2"/>
      <c r="D522" s="2"/>
      <c r="E522" s="2"/>
      <c r="F522" s="9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>
      <c r="A523" s="2"/>
      <c r="B523" s="2"/>
      <c r="C523" s="2"/>
      <c r="D523" s="2"/>
      <c r="E523" s="2"/>
      <c r="F523" s="9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>
      <c r="A524" s="2"/>
      <c r="B524" s="2"/>
      <c r="C524" s="2"/>
      <c r="D524" s="2"/>
      <c r="E524" s="2"/>
      <c r="F524" s="9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>
      <c r="A525" s="2"/>
      <c r="B525" s="2"/>
      <c r="C525" s="2"/>
      <c r="D525" s="2"/>
      <c r="E525" s="2"/>
      <c r="F525" s="9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>
      <c r="A526" s="2"/>
      <c r="B526" s="2"/>
      <c r="C526" s="2"/>
      <c r="D526" s="2"/>
      <c r="E526" s="2"/>
      <c r="F526" s="9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>
      <c r="A527" s="2"/>
      <c r="B527" s="2"/>
      <c r="C527" s="2"/>
      <c r="D527" s="2"/>
      <c r="E527" s="2"/>
      <c r="F527" s="9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>
      <c r="A528" s="2"/>
      <c r="B528" s="2"/>
      <c r="C528" s="2"/>
      <c r="D528" s="2"/>
      <c r="E528" s="2"/>
      <c r="F528" s="9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>
      <c r="A529" s="2"/>
      <c r="B529" s="2"/>
      <c r="C529" s="2"/>
      <c r="D529" s="2"/>
      <c r="E529" s="2"/>
      <c r="F529" s="9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>
      <c r="A530" s="2"/>
      <c r="B530" s="2"/>
      <c r="C530" s="2"/>
      <c r="D530" s="2"/>
      <c r="E530" s="2"/>
      <c r="F530" s="9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>
      <c r="A531" s="2"/>
      <c r="B531" s="2"/>
      <c r="C531" s="2"/>
      <c r="D531" s="2"/>
      <c r="E531" s="2"/>
      <c r="F531" s="9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>
      <c r="A532" s="2"/>
      <c r="B532" s="2"/>
      <c r="C532" s="2"/>
      <c r="D532" s="2"/>
      <c r="E532" s="2"/>
      <c r="F532" s="9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>
      <c r="A533" s="2"/>
      <c r="B533" s="2"/>
      <c r="C533" s="2"/>
      <c r="D533" s="2"/>
      <c r="E533" s="2"/>
      <c r="F533" s="9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>
      <c r="A534" s="2"/>
      <c r="B534" s="2"/>
      <c r="C534" s="2"/>
      <c r="D534" s="2"/>
      <c r="E534" s="2"/>
      <c r="F534" s="9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>
      <c r="A535" s="2"/>
      <c r="B535" s="2"/>
      <c r="C535" s="2"/>
      <c r="D535" s="2"/>
      <c r="E535" s="2"/>
      <c r="F535" s="9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>
      <c r="A536" s="2"/>
      <c r="B536" s="2"/>
      <c r="C536" s="2"/>
      <c r="D536" s="2"/>
      <c r="E536" s="2"/>
      <c r="F536" s="9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>
      <c r="A537" s="2"/>
      <c r="B537" s="2"/>
      <c r="C537" s="2"/>
      <c r="D537" s="2"/>
      <c r="E537" s="2"/>
      <c r="F537" s="9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>
      <c r="A538" s="2"/>
      <c r="B538" s="2"/>
      <c r="C538" s="2"/>
      <c r="D538" s="2"/>
      <c r="E538" s="2"/>
      <c r="F538" s="9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>
      <c r="A539" s="2"/>
      <c r="B539" s="2"/>
      <c r="C539" s="2"/>
      <c r="D539" s="2"/>
      <c r="E539" s="2"/>
      <c r="F539" s="9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>
      <c r="A540" s="2"/>
      <c r="B540" s="2"/>
      <c r="C540" s="2"/>
      <c r="D540" s="2"/>
      <c r="E540" s="2"/>
      <c r="F540" s="9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>
      <c r="A541" s="2"/>
      <c r="B541" s="2"/>
      <c r="C541" s="2"/>
      <c r="D541" s="2"/>
      <c r="E541" s="2"/>
      <c r="F541" s="9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>
      <c r="A542" s="2"/>
      <c r="B542" s="2"/>
      <c r="C542" s="2"/>
      <c r="D542" s="2"/>
      <c r="E542" s="2"/>
      <c r="F542" s="9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>
      <c r="A543" s="2"/>
      <c r="B543" s="2"/>
      <c r="C543" s="2"/>
      <c r="D543" s="2"/>
      <c r="E543" s="2"/>
      <c r="F543" s="9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>
      <c r="A544" s="2"/>
      <c r="B544" s="2"/>
      <c r="C544" s="2"/>
      <c r="D544" s="2"/>
      <c r="E544" s="2"/>
      <c r="F544" s="9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>
      <c r="A545" s="2"/>
      <c r="B545" s="2"/>
      <c r="C545" s="2"/>
      <c r="D545" s="2"/>
      <c r="E545" s="2"/>
      <c r="F545" s="9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>
      <c r="A546" s="2"/>
      <c r="B546" s="2"/>
      <c r="C546" s="2"/>
      <c r="D546" s="2"/>
      <c r="E546" s="2"/>
      <c r="F546" s="9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>
      <c r="A547" s="2"/>
      <c r="B547" s="2"/>
      <c r="C547" s="2"/>
      <c r="D547" s="2"/>
      <c r="E547" s="2"/>
      <c r="F547" s="9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>
      <c r="A548" s="2"/>
      <c r="B548" s="2"/>
      <c r="C548" s="2"/>
      <c r="D548" s="2"/>
      <c r="E548" s="2"/>
      <c r="F548" s="9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>
      <c r="A549" s="2"/>
      <c r="B549" s="2"/>
      <c r="C549" s="2"/>
      <c r="D549" s="2"/>
      <c r="E549" s="2"/>
      <c r="F549" s="9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>
      <c r="A550" s="2"/>
      <c r="B550" s="2"/>
      <c r="C550" s="2"/>
      <c r="D550" s="2"/>
      <c r="E550" s="2"/>
      <c r="F550" s="9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>
      <c r="A551" s="2"/>
      <c r="B551" s="2"/>
      <c r="C551" s="2"/>
      <c r="D551" s="2"/>
      <c r="E551" s="2"/>
      <c r="F551" s="9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>
      <c r="A552" s="2"/>
      <c r="B552" s="2"/>
      <c r="C552" s="2"/>
      <c r="D552" s="2"/>
      <c r="E552" s="2"/>
      <c r="F552" s="9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>
      <c r="A553" s="2"/>
      <c r="B553" s="2"/>
      <c r="C553" s="2"/>
      <c r="D553" s="2"/>
      <c r="E553" s="2"/>
      <c r="F553" s="9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>
      <c r="A554" s="2"/>
      <c r="B554" s="2"/>
      <c r="C554" s="2"/>
      <c r="D554" s="2"/>
      <c r="E554" s="2"/>
      <c r="F554" s="9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>
      <c r="A555" s="2"/>
      <c r="B555" s="2"/>
      <c r="C555" s="2"/>
      <c r="D555" s="2"/>
      <c r="E555" s="2"/>
      <c r="F555" s="9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>
      <c r="A556" s="2"/>
      <c r="B556" s="2"/>
      <c r="C556" s="2"/>
      <c r="D556" s="2"/>
      <c r="E556" s="2"/>
      <c r="F556" s="9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>
      <c r="A557" s="2"/>
      <c r="B557" s="2"/>
      <c r="C557" s="2"/>
      <c r="D557" s="2"/>
      <c r="E557" s="2"/>
      <c r="F557" s="9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>
      <c r="A558" s="2"/>
      <c r="B558" s="2"/>
      <c r="C558" s="2"/>
      <c r="D558" s="2"/>
      <c r="E558" s="2"/>
      <c r="F558" s="9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>
      <c r="A559" s="2"/>
      <c r="B559" s="2"/>
      <c r="C559" s="2"/>
      <c r="D559" s="2"/>
      <c r="E559" s="2"/>
      <c r="F559" s="9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>
      <c r="A560" s="2"/>
      <c r="B560" s="2"/>
      <c r="C560" s="2"/>
      <c r="D560" s="2"/>
      <c r="E560" s="2"/>
      <c r="F560" s="9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>
      <c r="A561" s="2"/>
      <c r="B561" s="2"/>
      <c r="C561" s="2"/>
      <c r="D561" s="2"/>
      <c r="E561" s="2"/>
      <c r="F561" s="9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>
      <c r="A562" s="2"/>
      <c r="B562" s="2"/>
      <c r="C562" s="2"/>
      <c r="D562" s="2"/>
      <c r="E562" s="2"/>
      <c r="F562" s="9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>
      <c r="A563" s="2"/>
      <c r="B563" s="2"/>
      <c r="C563" s="2"/>
      <c r="D563" s="2"/>
      <c r="E563" s="2"/>
      <c r="F563" s="9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>
      <c r="A564" s="2"/>
      <c r="B564" s="2"/>
      <c r="C564" s="2"/>
      <c r="D564" s="2"/>
      <c r="E564" s="2"/>
      <c r="F564" s="9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>
      <c r="A565" s="2"/>
      <c r="B565" s="2"/>
      <c r="C565" s="2"/>
      <c r="D565" s="2"/>
      <c r="E565" s="2"/>
      <c r="F565" s="9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>
      <c r="A566" s="2"/>
      <c r="B566" s="2"/>
      <c r="C566" s="2"/>
      <c r="D566" s="2"/>
      <c r="E566" s="2"/>
      <c r="F566" s="9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>
      <c r="A567" s="2"/>
      <c r="B567" s="2"/>
      <c r="C567" s="2"/>
      <c r="D567" s="2"/>
      <c r="E567" s="2"/>
      <c r="F567" s="9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>
      <c r="A568" s="2"/>
      <c r="B568" s="2"/>
      <c r="C568" s="2"/>
      <c r="D568" s="2"/>
      <c r="E568" s="2"/>
      <c r="F568" s="9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>
      <c r="A569" s="2"/>
      <c r="B569" s="2"/>
      <c r="C569" s="2"/>
      <c r="D569" s="2"/>
      <c r="E569" s="2"/>
      <c r="F569" s="9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>
      <c r="A570" s="2"/>
      <c r="B570" s="2"/>
      <c r="C570" s="2"/>
      <c r="D570" s="2"/>
      <c r="E570" s="2"/>
      <c r="F570" s="9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>
      <c r="A571" s="2"/>
      <c r="B571" s="2"/>
      <c r="C571" s="2"/>
      <c r="D571" s="2"/>
      <c r="E571" s="2"/>
      <c r="F571" s="9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>
      <c r="A572" s="2"/>
      <c r="B572" s="2"/>
      <c r="C572" s="2"/>
      <c r="D572" s="2"/>
      <c r="E572" s="2"/>
      <c r="F572" s="9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>
      <c r="A573" s="2"/>
      <c r="B573" s="2"/>
      <c r="C573" s="2"/>
      <c r="D573" s="2"/>
      <c r="E573" s="2"/>
      <c r="F573" s="9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>
      <c r="A574" s="2"/>
      <c r="B574" s="2"/>
      <c r="C574" s="2"/>
      <c r="D574" s="2"/>
      <c r="E574" s="2"/>
      <c r="F574" s="9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>
      <c r="A575" s="2"/>
      <c r="B575" s="2"/>
      <c r="C575" s="2"/>
      <c r="D575" s="2"/>
      <c r="E575" s="2"/>
      <c r="F575" s="9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>
      <c r="A576" s="2"/>
      <c r="B576" s="2"/>
      <c r="C576" s="2"/>
      <c r="D576" s="2"/>
      <c r="E576" s="2"/>
      <c r="F576" s="9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>
      <c r="A577" s="2"/>
      <c r="B577" s="2"/>
      <c r="C577" s="2"/>
      <c r="D577" s="2"/>
      <c r="E577" s="2"/>
      <c r="F577" s="9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>
      <c r="A578" s="2"/>
      <c r="B578" s="2"/>
      <c r="C578" s="2"/>
      <c r="D578" s="2"/>
      <c r="E578" s="2"/>
      <c r="F578" s="9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>
      <c r="A579" s="2"/>
      <c r="B579" s="2"/>
      <c r="C579" s="2"/>
      <c r="D579" s="2"/>
      <c r="E579" s="2"/>
      <c r="F579" s="9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>
      <c r="A580" s="2"/>
      <c r="B580" s="2"/>
      <c r="C580" s="2"/>
      <c r="D580" s="2"/>
      <c r="E580" s="2"/>
      <c r="F580" s="9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>
      <c r="A581" s="2"/>
      <c r="B581" s="2"/>
      <c r="C581" s="2"/>
      <c r="D581" s="2"/>
      <c r="E581" s="2"/>
      <c r="F581" s="9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>
      <c r="A582" s="2"/>
      <c r="B582" s="2"/>
      <c r="C582" s="2"/>
      <c r="D582" s="2"/>
      <c r="E582" s="2"/>
      <c r="F582" s="9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>
      <c r="A583" s="2"/>
      <c r="B583" s="2"/>
      <c r="C583" s="2"/>
      <c r="D583" s="2"/>
      <c r="E583" s="2"/>
      <c r="F583" s="9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>
      <c r="A584" s="2"/>
      <c r="B584" s="2"/>
      <c r="C584" s="2"/>
      <c r="D584" s="2"/>
      <c r="E584" s="2"/>
      <c r="F584" s="9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>
      <c r="A585" s="2"/>
      <c r="B585" s="2"/>
      <c r="C585" s="2"/>
      <c r="D585" s="2"/>
      <c r="E585" s="2"/>
      <c r="F585" s="9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>
      <c r="A586" s="2"/>
      <c r="B586" s="2"/>
      <c r="C586" s="2"/>
      <c r="D586" s="2"/>
      <c r="E586" s="2"/>
      <c r="F586" s="9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>
      <c r="A587" s="2"/>
      <c r="B587" s="2"/>
      <c r="C587" s="2"/>
      <c r="D587" s="2"/>
      <c r="E587" s="2"/>
      <c r="F587" s="9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>
      <c r="A588" s="2"/>
      <c r="B588" s="2"/>
      <c r="C588" s="2"/>
      <c r="D588" s="2"/>
      <c r="E588" s="2"/>
      <c r="F588" s="9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>
      <c r="A589" s="2"/>
      <c r="B589" s="2"/>
      <c r="C589" s="2"/>
      <c r="D589" s="2"/>
      <c r="E589" s="2"/>
      <c r="F589" s="9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>
      <c r="A590" s="2"/>
      <c r="B590" s="2"/>
      <c r="C590" s="2"/>
      <c r="D590" s="2"/>
      <c r="E590" s="2"/>
      <c r="F590" s="9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>
      <c r="A591" s="2"/>
      <c r="B591" s="2"/>
      <c r="C591" s="2"/>
      <c r="D591" s="2"/>
      <c r="E591" s="2"/>
      <c r="F591" s="9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>
      <c r="A592" s="2"/>
      <c r="B592" s="2"/>
      <c r="C592" s="2"/>
      <c r="D592" s="2"/>
      <c r="E592" s="2"/>
      <c r="F592" s="9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>
      <c r="A593" s="2"/>
      <c r="B593" s="2"/>
      <c r="C593" s="2"/>
      <c r="D593" s="2"/>
      <c r="E593" s="2"/>
      <c r="F593" s="9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>
      <c r="A594" s="2"/>
      <c r="B594" s="2"/>
      <c r="C594" s="2"/>
      <c r="D594" s="2"/>
      <c r="E594" s="2"/>
      <c r="F594" s="9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>
      <c r="A595" s="2"/>
      <c r="B595" s="2"/>
      <c r="C595" s="2"/>
      <c r="D595" s="2"/>
      <c r="E595" s="2"/>
      <c r="F595" s="9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>
      <c r="A596" s="2"/>
      <c r="B596" s="2"/>
      <c r="C596" s="2"/>
      <c r="D596" s="2"/>
      <c r="E596" s="2"/>
      <c r="F596" s="9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>
      <c r="A597" s="2"/>
      <c r="B597" s="2"/>
      <c r="C597" s="2"/>
      <c r="D597" s="2"/>
      <c r="E597" s="2"/>
      <c r="F597" s="9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>
      <c r="A598" s="2"/>
      <c r="B598" s="2"/>
      <c r="C598" s="2"/>
      <c r="D598" s="2"/>
      <c r="E598" s="2"/>
      <c r="F598" s="9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>
      <c r="A599" s="2"/>
      <c r="B599" s="2"/>
      <c r="C599" s="2"/>
      <c r="D599" s="2"/>
      <c r="E599" s="2"/>
      <c r="F599" s="9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>
      <c r="A600" s="2"/>
      <c r="B600" s="2"/>
      <c r="C600" s="2"/>
      <c r="D600" s="2"/>
      <c r="E600" s="2"/>
      <c r="F600" s="9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>
      <c r="A601" s="2"/>
      <c r="B601" s="2"/>
      <c r="C601" s="2"/>
      <c r="D601" s="2"/>
      <c r="E601" s="2"/>
      <c r="F601" s="9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>
      <c r="A602" s="2"/>
      <c r="B602" s="2"/>
      <c r="C602" s="2"/>
      <c r="D602" s="2"/>
      <c r="E602" s="2"/>
      <c r="F602" s="9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>
      <c r="A603" s="2"/>
      <c r="B603" s="2"/>
      <c r="C603" s="2"/>
      <c r="D603" s="2"/>
      <c r="E603" s="2"/>
      <c r="F603" s="9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>
      <c r="A604" s="2"/>
      <c r="B604" s="2"/>
      <c r="C604" s="2"/>
      <c r="D604" s="2"/>
      <c r="E604" s="2"/>
      <c r="F604" s="9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>
      <c r="A605" s="2"/>
      <c r="B605" s="2"/>
      <c r="C605" s="2"/>
      <c r="D605" s="2"/>
      <c r="E605" s="2"/>
      <c r="F605" s="9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>
      <c r="A606" s="2"/>
      <c r="B606" s="2"/>
      <c r="C606" s="2"/>
      <c r="D606" s="2"/>
      <c r="E606" s="2"/>
      <c r="F606" s="9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>
      <c r="A607" s="2"/>
      <c r="B607" s="2"/>
      <c r="C607" s="2"/>
      <c r="D607" s="2"/>
      <c r="E607" s="2"/>
      <c r="F607" s="9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>
      <c r="A608" s="2"/>
      <c r="B608" s="2"/>
      <c r="C608" s="2"/>
      <c r="D608" s="2"/>
      <c r="E608" s="2"/>
      <c r="F608" s="9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>
      <c r="A609" s="2"/>
      <c r="B609" s="2"/>
      <c r="C609" s="2"/>
      <c r="D609" s="2"/>
      <c r="E609" s="2"/>
      <c r="F609" s="9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>
      <c r="A610" s="2"/>
      <c r="B610" s="2"/>
      <c r="C610" s="2"/>
      <c r="D610" s="2"/>
      <c r="E610" s="2"/>
      <c r="F610" s="9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>
      <c r="A611" s="2"/>
      <c r="B611" s="2"/>
      <c r="C611" s="2"/>
      <c r="D611" s="2"/>
      <c r="E611" s="2"/>
      <c r="F611" s="9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>
      <c r="A612" s="2"/>
      <c r="B612" s="2"/>
      <c r="C612" s="2"/>
      <c r="D612" s="2"/>
      <c r="E612" s="2"/>
      <c r="F612" s="9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>
      <c r="A613" s="2"/>
      <c r="B613" s="2"/>
      <c r="C613" s="2"/>
      <c r="D613" s="2"/>
      <c r="E613" s="2"/>
      <c r="F613" s="9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>
      <c r="A614" s="2"/>
      <c r="B614" s="2"/>
      <c r="C614" s="2"/>
      <c r="D614" s="2"/>
      <c r="E614" s="2"/>
      <c r="F614" s="9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>
      <c r="A615" s="2"/>
      <c r="B615" s="2"/>
      <c r="C615" s="2"/>
      <c r="D615" s="2"/>
      <c r="E615" s="2"/>
      <c r="F615" s="9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>
      <c r="A616" s="2"/>
      <c r="B616" s="2"/>
      <c r="C616" s="2"/>
      <c r="D616" s="2"/>
      <c r="E616" s="2"/>
      <c r="F616" s="9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>
      <c r="A617" s="2"/>
      <c r="B617" s="2"/>
      <c r="C617" s="2"/>
      <c r="D617" s="2"/>
      <c r="E617" s="2"/>
      <c r="F617" s="9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>
      <c r="A618" s="2"/>
      <c r="B618" s="2"/>
      <c r="C618" s="2"/>
      <c r="D618" s="2"/>
      <c r="E618" s="2"/>
      <c r="F618" s="9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>
      <c r="A619" s="2"/>
      <c r="B619" s="2"/>
      <c r="C619" s="2"/>
      <c r="D619" s="2"/>
      <c r="E619" s="2"/>
      <c r="F619" s="9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>
      <c r="A620" s="2"/>
      <c r="B620" s="2"/>
      <c r="C620" s="2"/>
      <c r="D620" s="2"/>
      <c r="E620" s="2"/>
      <c r="F620" s="9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>
      <c r="A621" s="2"/>
      <c r="B621" s="2"/>
      <c r="C621" s="2"/>
      <c r="D621" s="2"/>
      <c r="E621" s="2"/>
      <c r="F621" s="9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>
      <c r="A622" s="2"/>
      <c r="B622" s="2"/>
      <c r="C622" s="2"/>
      <c r="D622" s="2"/>
      <c r="E622" s="2"/>
      <c r="F622" s="9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>
      <c r="A623" s="2"/>
      <c r="B623" s="2"/>
      <c r="C623" s="2"/>
      <c r="D623" s="2"/>
      <c r="E623" s="2"/>
      <c r="F623" s="9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>
      <c r="A624" s="2"/>
      <c r="B624" s="2"/>
      <c r="C624" s="2"/>
      <c r="D624" s="2"/>
      <c r="E624" s="2"/>
      <c r="F624" s="9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>
      <c r="A625" s="2"/>
      <c r="B625" s="2"/>
      <c r="C625" s="2"/>
      <c r="D625" s="2"/>
      <c r="E625" s="2"/>
      <c r="F625" s="9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>
      <c r="A626" s="2"/>
      <c r="B626" s="2"/>
      <c r="C626" s="2"/>
      <c r="D626" s="2"/>
      <c r="E626" s="2"/>
      <c r="F626" s="9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>
      <c r="A627" s="2"/>
      <c r="B627" s="2"/>
      <c r="C627" s="2"/>
      <c r="D627" s="2"/>
      <c r="E627" s="2"/>
      <c r="F627" s="9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>
      <c r="A628" s="2"/>
      <c r="B628" s="2"/>
      <c r="C628" s="2"/>
      <c r="D628" s="2"/>
      <c r="E628" s="2"/>
      <c r="F628" s="9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>
      <c r="A629" s="2"/>
      <c r="B629" s="2"/>
      <c r="C629" s="2"/>
      <c r="D629" s="2"/>
      <c r="E629" s="2"/>
      <c r="F629" s="9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>
      <c r="A630" s="2"/>
      <c r="B630" s="2"/>
      <c r="C630" s="2"/>
      <c r="D630" s="2"/>
      <c r="E630" s="2"/>
      <c r="F630" s="9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>
      <c r="A631" s="2"/>
      <c r="B631" s="2"/>
      <c r="C631" s="2"/>
      <c r="D631" s="2"/>
      <c r="E631" s="2"/>
      <c r="F631" s="9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>
      <c r="A632" s="2"/>
      <c r="B632" s="2"/>
      <c r="C632" s="2"/>
      <c r="D632" s="2"/>
      <c r="E632" s="2"/>
      <c r="F632" s="9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>
      <c r="A633" s="2"/>
      <c r="B633" s="2"/>
      <c r="C633" s="2"/>
      <c r="D633" s="2"/>
      <c r="E633" s="2"/>
      <c r="F633" s="9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>
      <c r="A634" s="2"/>
      <c r="B634" s="2"/>
      <c r="C634" s="2"/>
      <c r="D634" s="2"/>
      <c r="E634" s="2"/>
      <c r="F634" s="9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>
      <c r="A635" s="2"/>
      <c r="B635" s="2"/>
      <c r="C635" s="2"/>
      <c r="D635" s="2"/>
      <c r="E635" s="2"/>
      <c r="F635" s="9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>
      <c r="A636" s="2"/>
      <c r="B636" s="2"/>
      <c r="C636" s="2"/>
      <c r="D636" s="2"/>
      <c r="E636" s="2"/>
      <c r="F636" s="9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>
      <c r="A637" s="2"/>
      <c r="B637" s="2"/>
      <c r="C637" s="2"/>
      <c r="D637" s="2"/>
      <c r="E637" s="2"/>
      <c r="F637" s="9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>
      <c r="A638" s="2"/>
      <c r="B638" s="2"/>
      <c r="C638" s="2"/>
      <c r="D638" s="2"/>
      <c r="E638" s="2"/>
      <c r="F638" s="9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>
      <c r="A639" s="2"/>
      <c r="B639" s="2"/>
      <c r="C639" s="2"/>
      <c r="D639" s="2"/>
      <c r="E639" s="2"/>
      <c r="F639" s="9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>
      <c r="A640" s="2"/>
      <c r="B640" s="2"/>
      <c r="C640" s="2"/>
      <c r="D640" s="2"/>
      <c r="E640" s="2"/>
      <c r="F640" s="9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>
      <c r="A641" s="2"/>
      <c r="B641" s="2"/>
      <c r="C641" s="2"/>
      <c r="D641" s="2"/>
      <c r="E641" s="2"/>
      <c r="F641" s="9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>
      <c r="A642" s="2"/>
      <c r="B642" s="2"/>
      <c r="C642" s="2"/>
      <c r="D642" s="2"/>
      <c r="E642" s="2"/>
      <c r="F642" s="9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>
      <c r="A643" s="2"/>
      <c r="B643" s="2"/>
      <c r="C643" s="2"/>
      <c r="D643" s="2"/>
      <c r="E643" s="2"/>
      <c r="F643" s="9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>
      <c r="A644" s="2"/>
      <c r="B644" s="2"/>
      <c r="C644" s="2"/>
      <c r="D644" s="2"/>
      <c r="E644" s="2"/>
      <c r="F644" s="9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>
      <c r="A645" s="2"/>
      <c r="B645" s="2"/>
      <c r="C645" s="2"/>
      <c r="D645" s="2"/>
      <c r="E645" s="2"/>
      <c r="F645" s="9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>
      <c r="A646" s="2"/>
      <c r="B646" s="2"/>
      <c r="C646" s="2"/>
      <c r="D646" s="2"/>
      <c r="E646" s="2"/>
      <c r="F646" s="9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>
      <c r="A647" s="2"/>
      <c r="B647" s="2"/>
      <c r="C647" s="2"/>
      <c r="D647" s="2"/>
      <c r="E647" s="2"/>
      <c r="F647" s="9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>
      <c r="A648" s="2"/>
      <c r="B648" s="2"/>
      <c r="C648" s="2"/>
      <c r="D648" s="2"/>
      <c r="E648" s="2"/>
      <c r="F648" s="9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>
      <c r="A649" s="2"/>
      <c r="B649" s="2"/>
      <c r="C649" s="2"/>
      <c r="D649" s="2"/>
      <c r="E649" s="2"/>
      <c r="F649" s="9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>
      <c r="A650" s="2"/>
      <c r="B650" s="2"/>
      <c r="C650" s="2"/>
      <c r="D650" s="2"/>
      <c r="E650" s="2"/>
      <c r="F650" s="9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>
      <c r="A651" s="2"/>
      <c r="B651" s="2"/>
      <c r="C651" s="2"/>
      <c r="D651" s="2"/>
      <c r="E651" s="2"/>
      <c r="F651" s="9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>
      <c r="A652" s="2"/>
      <c r="B652" s="2"/>
      <c r="C652" s="2"/>
      <c r="D652" s="2"/>
      <c r="E652" s="2"/>
      <c r="F652" s="9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>
      <c r="A653" s="2"/>
      <c r="B653" s="2"/>
      <c r="C653" s="2"/>
      <c r="D653" s="2"/>
      <c r="E653" s="2"/>
      <c r="F653" s="9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>
      <c r="A654" s="2"/>
      <c r="B654" s="2"/>
      <c r="C654" s="2"/>
      <c r="D654" s="2"/>
      <c r="E654" s="2"/>
      <c r="F654" s="9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>
      <c r="A655" s="2"/>
      <c r="B655" s="2"/>
      <c r="C655" s="2"/>
      <c r="D655" s="2"/>
      <c r="E655" s="2"/>
      <c r="F655" s="9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>
      <c r="A656" s="2"/>
      <c r="B656" s="2"/>
      <c r="C656" s="2"/>
      <c r="D656" s="2"/>
      <c r="E656" s="2"/>
      <c r="F656" s="9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>
      <c r="A657" s="2"/>
      <c r="B657" s="2"/>
      <c r="C657" s="2"/>
      <c r="D657" s="2"/>
      <c r="E657" s="2"/>
      <c r="F657" s="9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>
      <c r="A658" s="2"/>
      <c r="B658" s="2"/>
      <c r="C658" s="2"/>
      <c r="D658" s="2"/>
      <c r="E658" s="2"/>
      <c r="F658" s="9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>
      <c r="A659" s="2"/>
      <c r="B659" s="2"/>
      <c r="C659" s="2"/>
      <c r="D659" s="2"/>
      <c r="E659" s="2"/>
      <c r="F659" s="9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>
      <c r="A660" s="2"/>
      <c r="B660" s="2"/>
      <c r="C660" s="2"/>
      <c r="D660" s="2"/>
      <c r="E660" s="2"/>
      <c r="F660" s="9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>
      <c r="A661" s="2"/>
      <c r="B661" s="2"/>
      <c r="C661" s="2"/>
      <c r="D661" s="2"/>
      <c r="E661" s="2"/>
      <c r="F661" s="9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>
      <c r="A662" s="2"/>
      <c r="B662" s="2"/>
      <c r="C662" s="2"/>
      <c r="D662" s="2"/>
      <c r="E662" s="2"/>
      <c r="F662" s="9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>
      <c r="A663" s="2"/>
      <c r="B663" s="2"/>
      <c r="C663" s="2"/>
      <c r="D663" s="2"/>
      <c r="E663" s="2"/>
      <c r="F663" s="9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>
      <c r="A664" s="2"/>
      <c r="B664" s="2"/>
      <c r="C664" s="2"/>
      <c r="D664" s="2"/>
      <c r="E664" s="2"/>
      <c r="F664" s="9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>
      <c r="A665" s="2"/>
      <c r="B665" s="2"/>
      <c r="C665" s="2"/>
      <c r="D665" s="2"/>
      <c r="E665" s="2"/>
      <c r="F665" s="9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>
      <c r="A666" s="2"/>
      <c r="B666" s="2"/>
      <c r="C666" s="2"/>
      <c r="D666" s="2"/>
      <c r="E666" s="2"/>
      <c r="F666" s="9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>
      <c r="A667" s="2"/>
      <c r="B667" s="2"/>
      <c r="C667" s="2"/>
      <c r="D667" s="2"/>
      <c r="E667" s="2"/>
      <c r="F667" s="9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>
      <c r="A668" s="2"/>
      <c r="B668" s="2"/>
      <c r="C668" s="2"/>
      <c r="D668" s="2"/>
      <c r="E668" s="2"/>
      <c r="F668" s="9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>
      <c r="A669" s="2"/>
      <c r="B669" s="2"/>
      <c r="C669" s="2"/>
      <c r="D669" s="2"/>
      <c r="E669" s="2"/>
      <c r="F669" s="9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>
      <c r="A670" s="2"/>
      <c r="B670" s="2"/>
      <c r="C670" s="2"/>
      <c r="D670" s="2"/>
      <c r="E670" s="2"/>
      <c r="F670" s="9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>
      <c r="A671" s="2"/>
      <c r="B671" s="2"/>
      <c r="C671" s="2"/>
      <c r="D671" s="2"/>
      <c r="E671" s="2"/>
      <c r="F671" s="9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>
      <c r="A672" s="2"/>
      <c r="B672" s="2"/>
      <c r="C672" s="2"/>
      <c r="D672" s="2"/>
      <c r="E672" s="2"/>
      <c r="F672" s="9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>
      <c r="A673" s="2"/>
      <c r="B673" s="2"/>
      <c r="C673" s="2"/>
      <c r="D673" s="2"/>
      <c r="E673" s="2"/>
      <c r="F673" s="9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>
      <c r="A674" s="2"/>
      <c r="B674" s="2"/>
      <c r="C674" s="2"/>
      <c r="D674" s="2"/>
      <c r="E674" s="2"/>
      <c r="F674" s="9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>
      <c r="A675" s="2"/>
      <c r="B675" s="2"/>
      <c r="C675" s="2"/>
      <c r="D675" s="2"/>
      <c r="E675" s="2"/>
      <c r="F675" s="9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>
      <c r="A676" s="2"/>
      <c r="B676" s="2"/>
      <c r="C676" s="2"/>
      <c r="D676" s="2"/>
      <c r="E676" s="2"/>
      <c r="F676" s="9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>
      <c r="A677" s="2"/>
      <c r="B677" s="2"/>
      <c r="C677" s="2"/>
      <c r="D677" s="2"/>
      <c r="E677" s="2"/>
      <c r="F677" s="9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>
      <c r="A678" s="2"/>
      <c r="B678" s="2"/>
      <c r="C678" s="2"/>
      <c r="D678" s="2"/>
      <c r="E678" s="2"/>
      <c r="F678" s="9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>
      <c r="A679" s="2"/>
      <c r="B679" s="2"/>
      <c r="C679" s="2"/>
      <c r="D679" s="2"/>
      <c r="E679" s="2"/>
      <c r="F679" s="9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>
      <c r="A680" s="2"/>
      <c r="B680" s="2"/>
      <c r="C680" s="2"/>
      <c r="D680" s="2"/>
      <c r="E680" s="2"/>
      <c r="F680" s="9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>
      <c r="A681" s="2"/>
      <c r="B681" s="2"/>
      <c r="C681" s="2"/>
      <c r="D681" s="2"/>
      <c r="E681" s="2"/>
      <c r="F681" s="9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>
      <c r="A682" s="2"/>
      <c r="B682" s="2"/>
      <c r="C682" s="2"/>
      <c r="D682" s="2"/>
      <c r="E682" s="2"/>
      <c r="F682" s="9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>
      <c r="A683" s="2"/>
      <c r="B683" s="2"/>
      <c r="C683" s="2"/>
      <c r="D683" s="2"/>
      <c r="E683" s="2"/>
      <c r="F683" s="9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>
      <c r="A684" s="2"/>
      <c r="B684" s="2"/>
      <c r="C684" s="2"/>
      <c r="D684" s="2"/>
      <c r="E684" s="2"/>
      <c r="F684" s="9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>
      <c r="A685" s="2"/>
      <c r="B685" s="2"/>
      <c r="C685" s="2"/>
      <c r="D685" s="2"/>
      <c r="E685" s="2"/>
      <c r="F685" s="9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>
      <c r="A686" s="2"/>
      <c r="B686" s="2"/>
      <c r="C686" s="2"/>
      <c r="D686" s="2"/>
      <c r="E686" s="2"/>
      <c r="F686" s="9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>
      <c r="A687" s="2"/>
      <c r="B687" s="2"/>
      <c r="C687" s="2"/>
      <c r="D687" s="2"/>
      <c r="E687" s="2"/>
      <c r="F687" s="9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>
      <c r="A688" s="2"/>
      <c r="B688" s="2"/>
      <c r="C688" s="2"/>
      <c r="D688" s="2"/>
      <c r="E688" s="2"/>
      <c r="F688" s="9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>
      <c r="A689" s="2"/>
      <c r="B689" s="2"/>
      <c r="C689" s="2"/>
      <c r="D689" s="2"/>
      <c r="E689" s="2"/>
      <c r="F689" s="9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>
      <c r="A690" s="2"/>
      <c r="B690" s="2"/>
      <c r="C690" s="2"/>
      <c r="D690" s="2"/>
      <c r="E690" s="2"/>
      <c r="F690" s="9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>
      <c r="A691" s="2"/>
      <c r="B691" s="2"/>
      <c r="C691" s="2"/>
      <c r="D691" s="2"/>
      <c r="E691" s="2"/>
      <c r="F691" s="9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>
      <c r="A692" s="2"/>
      <c r="B692" s="2"/>
      <c r="C692" s="2"/>
      <c r="D692" s="2"/>
      <c r="E692" s="2"/>
      <c r="F692" s="9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>
      <c r="A693" s="2"/>
      <c r="B693" s="2"/>
      <c r="C693" s="2"/>
      <c r="D693" s="2"/>
      <c r="E693" s="2"/>
      <c r="F693" s="9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>
      <c r="A694" s="2"/>
      <c r="B694" s="2"/>
      <c r="C694" s="2"/>
      <c r="D694" s="2"/>
      <c r="E694" s="2"/>
      <c r="F694" s="9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>
      <c r="A695" s="2"/>
      <c r="B695" s="2"/>
      <c r="C695" s="2"/>
      <c r="D695" s="2"/>
      <c r="E695" s="2"/>
      <c r="F695" s="9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>
      <c r="A696" s="2"/>
      <c r="B696" s="2"/>
      <c r="C696" s="2"/>
      <c r="D696" s="2"/>
      <c r="E696" s="2"/>
      <c r="F696" s="9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>
      <c r="A697" s="2"/>
      <c r="B697" s="2"/>
      <c r="C697" s="2"/>
      <c r="D697" s="2"/>
      <c r="E697" s="2"/>
      <c r="F697" s="9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>
      <c r="A698" s="2"/>
      <c r="B698" s="2"/>
      <c r="C698" s="2"/>
      <c r="D698" s="2"/>
      <c r="E698" s="2"/>
      <c r="F698" s="9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>
      <c r="A699" s="2"/>
      <c r="B699" s="2"/>
      <c r="C699" s="2"/>
      <c r="D699" s="2"/>
      <c r="E699" s="2"/>
      <c r="F699" s="9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>
      <c r="A700" s="2"/>
      <c r="B700" s="2"/>
      <c r="C700" s="2"/>
      <c r="D700" s="2"/>
      <c r="E700" s="2"/>
      <c r="F700" s="9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>
      <c r="A701" s="2"/>
      <c r="B701" s="2"/>
      <c r="C701" s="2"/>
      <c r="D701" s="2"/>
      <c r="E701" s="2"/>
      <c r="F701" s="9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>
      <c r="A702" s="2"/>
      <c r="B702" s="2"/>
      <c r="C702" s="2"/>
      <c r="D702" s="2"/>
      <c r="E702" s="2"/>
      <c r="F702" s="9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>
      <c r="A703" s="2"/>
      <c r="B703" s="2"/>
      <c r="C703" s="2"/>
      <c r="D703" s="2"/>
      <c r="E703" s="2"/>
      <c r="F703" s="9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>
      <c r="A704" s="2"/>
      <c r="B704" s="2"/>
      <c r="C704" s="2"/>
      <c r="D704" s="2"/>
      <c r="E704" s="2"/>
      <c r="F704" s="9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>
      <c r="A705" s="2"/>
      <c r="B705" s="2"/>
      <c r="C705" s="2"/>
      <c r="D705" s="2"/>
      <c r="E705" s="2"/>
      <c r="F705" s="9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>
      <c r="A706" s="2"/>
      <c r="B706" s="2"/>
      <c r="C706" s="2"/>
      <c r="D706" s="2"/>
      <c r="E706" s="2"/>
      <c r="F706" s="9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>
      <c r="A707" s="2"/>
      <c r="B707" s="2"/>
      <c r="C707" s="2"/>
      <c r="D707" s="2"/>
      <c r="E707" s="2"/>
      <c r="F707" s="9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>
      <c r="A708" s="2"/>
      <c r="B708" s="2"/>
      <c r="C708" s="2"/>
      <c r="D708" s="2"/>
      <c r="E708" s="2"/>
      <c r="F708" s="9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>
      <c r="A709" s="2"/>
      <c r="B709" s="2"/>
      <c r="C709" s="2"/>
      <c r="D709" s="2"/>
      <c r="E709" s="2"/>
      <c r="F709" s="9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>
      <c r="A710" s="2"/>
      <c r="B710" s="2"/>
      <c r="C710" s="2"/>
      <c r="D710" s="2"/>
      <c r="E710" s="2"/>
      <c r="F710" s="9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>
      <c r="A711" s="2"/>
      <c r="B711" s="2"/>
      <c r="C711" s="2"/>
      <c r="D711" s="2"/>
      <c r="E711" s="2"/>
      <c r="F711" s="9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>
      <c r="A712" s="2"/>
      <c r="B712" s="2"/>
      <c r="C712" s="2"/>
      <c r="D712" s="2"/>
      <c r="E712" s="2"/>
      <c r="F712" s="9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>
      <c r="A713" s="2"/>
      <c r="B713" s="2"/>
      <c r="C713" s="2"/>
      <c r="D713" s="2"/>
      <c r="E713" s="2"/>
      <c r="F713" s="9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>
      <c r="A714" s="2"/>
      <c r="B714" s="2"/>
      <c r="C714" s="2"/>
      <c r="D714" s="2"/>
      <c r="E714" s="2"/>
      <c r="F714" s="9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>
      <c r="A715" s="2"/>
      <c r="B715" s="2"/>
      <c r="C715" s="2"/>
      <c r="D715" s="2"/>
      <c r="E715" s="2"/>
      <c r="F715" s="9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>
      <c r="A716" s="2"/>
      <c r="B716" s="2"/>
      <c r="C716" s="2"/>
      <c r="D716" s="2"/>
      <c r="E716" s="2"/>
      <c r="F716" s="9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>
      <c r="A717" s="2"/>
      <c r="B717" s="2"/>
      <c r="C717" s="2"/>
      <c r="D717" s="2"/>
      <c r="E717" s="2"/>
      <c r="F717" s="9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>
      <c r="A718" s="2"/>
      <c r="B718" s="2"/>
      <c r="C718" s="2"/>
      <c r="D718" s="2"/>
      <c r="E718" s="2"/>
      <c r="F718" s="9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>
      <c r="A719" s="2"/>
      <c r="B719" s="2"/>
      <c r="C719" s="2"/>
      <c r="D719" s="2"/>
      <c r="E719" s="2"/>
      <c r="F719" s="9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>
      <c r="A720" s="2"/>
      <c r="B720" s="2"/>
      <c r="C720" s="2"/>
      <c r="D720" s="2"/>
      <c r="E720" s="2"/>
      <c r="F720" s="9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>
      <c r="A721" s="2"/>
      <c r="B721" s="2"/>
      <c r="C721" s="2"/>
      <c r="D721" s="2"/>
      <c r="E721" s="2"/>
      <c r="F721" s="9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>
      <c r="A722" s="2"/>
      <c r="B722" s="2"/>
      <c r="C722" s="2"/>
      <c r="D722" s="2"/>
      <c r="E722" s="2"/>
      <c r="F722" s="9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>
      <c r="A723" s="2"/>
      <c r="B723" s="2"/>
      <c r="C723" s="2"/>
      <c r="D723" s="2"/>
      <c r="E723" s="2"/>
      <c r="F723" s="9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>
      <c r="A724" s="2"/>
      <c r="B724" s="2"/>
      <c r="C724" s="2"/>
      <c r="D724" s="2"/>
      <c r="E724" s="2"/>
      <c r="F724" s="9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>
      <c r="A725" s="2"/>
      <c r="B725" s="2"/>
      <c r="C725" s="2"/>
      <c r="D725" s="2"/>
      <c r="E725" s="2"/>
      <c r="F725" s="9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>
      <c r="A726" s="2"/>
      <c r="B726" s="2"/>
      <c r="C726" s="2"/>
      <c r="D726" s="2"/>
      <c r="E726" s="2"/>
      <c r="F726" s="9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>
      <c r="A727" s="2"/>
      <c r="B727" s="2"/>
      <c r="C727" s="2"/>
      <c r="D727" s="2"/>
      <c r="E727" s="2"/>
      <c r="F727" s="9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>
      <c r="A728" s="2"/>
      <c r="B728" s="2"/>
      <c r="C728" s="2"/>
      <c r="D728" s="2"/>
      <c r="E728" s="2"/>
      <c r="F728" s="9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>
      <c r="A729" s="2"/>
      <c r="B729" s="2"/>
      <c r="C729" s="2"/>
      <c r="D729" s="2"/>
      <c r="E729" s="2"/>
      <c r="F729" s="9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>
      <c r="A730" s="2"/>
      <c r="B730" s="2"/>
      <c r="C730" s="2"/>
      <c r="D730" s="2"/>
      <c r="E730" s="2"/>
      <c r="F730" s="9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>
      <c r="A731" s="2"/>
      <c r="B731" s="2"/>
      <c r="C731" s="2"/>
      <c r="D731" s="2"/>
      <c r="E731" s="2"/>
      <c r="F731" s="9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>
      <c r="A732" s="2"/>
      <c r="B732" s="2"/>
      <c r="C732" s="2"/>
      <c r="D732" s="2"/>
      <c r="E732" s="2"/>
      <c r="F732" s="9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>
      <c r="A733" s="2"/>
      <c r="B733" s="2"/>
      <c r="C733" s="2"/>
      <c r="D733" s="2"/>
      <c r="E733" s="2"/>
      <c r="F733" s="9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>
      <c r="A734" s="2"/>
      <c r="B734" s="2"/>
      <c r="C734" s="2"/>
      <c r="D734" s="2"/>
      <c r="E734" s="2"/>
      <c r="F734" s="9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>
      <c r="A735" s="2"/>
      <c r="B735" s="2"/>
      <c r="C735" s="2"/>
      <c r="D735" s="2"/>
      <c r="E735" s="2"/>
      <c r="F735" s="9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>
      <c r="A736" s="2"/>
      <c r="B736" s="2"/>
      <c r="C736" s="2"/>
      <c r="D736" s="2"/>
      <c r="E736" s="2"/>
      <c r="F736" s="9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>
      <c r="A737" s="2"/>
      <c r="B737" s="2"/>
      <c r="C737" s="2"/>
      <c r="D737" s="2"/>
      <c r="E737" s="2"/>
      <c r="F737" s="9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>
      <c r="A738" s="2"/>
      <c r="B738" s="2"/>
      <c r="C738" s="2"/>
      <c r="D738" s="2"/>
      <c r="E738" s="2"/>
      <c r="F738" s="9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>
      <c r="A739" s="2"/>
      <c r="B739" s="2"/>
      <c r="C739" s="2"/>
      <c r="D739" s="2"/>
      <c r="E739" s="2"/>
      <c r="F739" s="9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>
      <c r="A740" s="2"/>
      <c r="B740" s="2"/>
      <c r="C740" s="2"/>
      <c r="D740" s="2"/>
      <c r="E740" s="2"/>
      <c r="F740" s="9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>
      <c r="A741" s="2"/>
      <c r="B741" s="2"/>
      <c r="C741" s="2"/>
      <c r="D741" s="2"/>
      <c r="E741" s="2"/>
      <c r="F741" s="9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>
      <c r="A742" s="2"/>
      <c r="B742" s="2"/>
      <c r="C742" s="2"/>
      <c r="D742" s="2"/>
      <c r="E742" s="2"/>
      <c r="F742" s="9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>
      <c r="A743" s="2"/>
      <c r="B743" s="2"/>
      <c r="C743" s="2"/>
      <c r="D743" s="2"/>
      <c r="E743" s="2"/>
      <c r="F743" s="9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>
      <c r="A744" s="2"/>
      <c r="B744" s="2"/>
      <c r="C744" s="2"/>
      <c r="D744" s="2"/>
      <c r="E744" s="2"/>
      <c r="F744" s="9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>
      <c r="A745" s="2"/>
      <c r="B745" s="2"/>
      <c r="C745" s="2"/>
      <c r="D745" s="2"/>
      <c r="E745" s="2"/>
      <c r="F745" s="9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>
      <c r="A746" s="2"/>
      <c r="B746" s="2"/>
      <c r="C746" s="2"/>
      <c r="D746" s="2"/>
      <c r="E746" s="2"/>
      <c r="F746" s="9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>
      <c r="A747" s="2"/>
      <c r="B747" s="2"/>
      <c r="C747" s="2"/>
      <c r="D747" s="2"/>
      <c r="E747" s="2"/>
      <c r="F747" s="9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>
      <c r="A748" s="2"/>
      <c r="B748" s="2"/>
      <c r="C748" s="2"/>
      <c r="D748" s="2"/>
      <c r="E748" s="2"/>
      <c r="F748" s="9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>
      <c r="A749" s="2"/>
      <c r="B749" s="2"/>
      <c r="C749" s="2"/>
      <c r="D749" s="2"/>
      <c r="E749" s="2"/>
      <c r="F749" s="9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>
      <c r="A750" s="2"/>
      <c r="B750" s="2"/>
      <c r="C750" s="2"/>
      <c r="D750" s="2"/>
      <c r="E750" s="2"/>
      <c r="F750" s="9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>
      <c r="A751" s="2"/>
      <c r="B751" s="2"/>
      <c r="C751" s="2"/>
      <c r="D751" s="2"/>
      <c r="E751" s="2"/>
      <c r="F751" s="9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>
      <c r="A752" s="2"/>
      <c r="B752" s="2"/>
      <c r="C752" s="2"/>
      <c r="D752" s="2"/>
      <c r="E752" s="2"/>
      <c r="F752" s="9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>
      <c r="A753" s="2"/>
      <c r="B753" s="2"/>
      <c r="C753" s="2"/>
      <c r="D753" s="2"/>
      <c r="E753" s="2"/>
      <c r="F753" s="9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>
      <c r="A754" s="2"/>
      <c r="B754" s="2"/>
      <c r="C754" s="2"/>
      <c r="D754" s="2"/>
      <c r="E754" s="2"/>
      <c r="F754" s="9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>
      <c r="A755" s="2"/>
      <c r="B755" s="2"/>
      <c r="C755" s="2"/>
      <c r="D755" s="2"/>
      <c r="E755" s="2"/>
      <c r="F755" s="9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>
      <c r="A756" s="2"/>
      <c r="B756" s="2"/>
      <c r="C756" s="2"/>
      <c r="D756" s="2"/>
      <c r="E756" s="2"/>
      <c r="F756" s="9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>
      <c r="A757" s="2"/>
      <c r="B757" s="2"/>
      <c r="C757" s="2"/>
      <c r="D757" s="2"/>
      <c r="E757" s="2"/>
      <c r="F757" s="9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>
      <c r="A758" s="2"/>
      <c r="B758" s="2"/>
      <c r="C758" s="2"/>
      <c r="D758" s="2"/>
      <c r="E758" s="2"/>
      <c r="F758" s="9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>
      <c r="A759" s="2"/>
      <c r="B759" s="2"/>
      <c r="C759" s="2"/>
      <c r="D759" s="2"/>
      <c r="E759" s="2"/>
      <c r="F759" s="9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>
      <c r="A760" s="2"/>
      <c r="B760" s="2"/>
      <c r="C760" s="2"/>
      <c r="D760" s="2"/>
      <c r="E760" s="2"/>
      <c r="F760" s="9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>
      <c r="A761" s="2"/>
      <c r="B761" s="2"/>
      <c r="C761" s="2"/>
      <c r="D761" s="2"/>
      <c r="E761" s="2"/>
      <c r="F761" s="9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>
      <c r="A762" s="2"/>
      <c r="B762" s="2"/>
      <c r="C762" s="2"/>
      <c r="D762" s="2"/>
      <c r="E762" s="2"/>
      <c r="F762" s="9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>
      <c r="A763" s="2"/>
      <c r="B763" s="2"/>
      <c r="C763" s="2"/>
      <c r="D763" s="2"/>
      <c r="E763" s="2"/>
      <c r="F763" s="9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>
      <c r="A764" s="2"/>
      <c r="B764" s="2"/>
      <c r="C764" s="2"/>
      <c r="D764" s="2"/>
      <c r="E764" s="2"/>
      <c r="F764" s="9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>
      <c r="A765" s="2"/>
      <c r="B765" s="2"/>
      <c r="C765" s="2"/>
      <c r="D765" s="2"/>
      <c r="E765" s="2"/>
      <c r="F765" s="9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>
      <c r="A766" s="2"/>
      <c r="B766" s="2"/>
      <c r="C766" s="2"/>
      <c r="D766" s="2"/>
      <c r="E766" s="2"/>
      <c r="F766" s="9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>
      <c r="A767" s="2"/>
      <c r="B767" s="2"/>
      <c r="C767" s="2"/>
      <c r="D767" s="2"/>
      <c r="E767" s="2"/>
      <c r="F767" s="9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>
      <c r="A768" s="2"/>
      <c r="B768" s="2"/>
      <c r="C768" s="2"/>
      <c r="D768" s="2"/>
      <c r="E768" s="2"/>
      <c r="F768" s="9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>
      <c r="A769" s="2"/>
      <c r="B769" s="2"/>
      <c r="C769" s="2"/>
      <c r="D769" s="2"/>
      <c r="E769" s="2"/>
      <c r="F769" s="9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>
      <c r="A770" s="2"/>
      <c r="B770" s="2"/>
      <c r="C770" s="2"/>
      <c r="D770" s="2"/>
      <c r="E770" s="2"/>
      <c r="F770" s="9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>
      <c r="A771" s="2"/>
      <c r="B771" s="2"/>
      <c r="C771" s="2"/>
      <c r="D771" s="2"/>
      <c r="E771" s="2"/>
      <c r="F771" s="9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>
      <c r="A772" s="2"/>
      <c r="B772" s="2"/>
      <c r="C772" s="2"/>
      <c r="D772" s="2"/>
      <c r="E772" s="2"/>
      <c r="F772" s="9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>
      <c r="A773" s="2"/>
      <c r="B773" s="2"/>
      <c r="C773" s="2"/>
      <c r="D773" s="2"/>
      <c r="E773" s="2"/>
      <c r="F773" s="9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>
      <c r="A774" s="2"/>
      <c r="B774" s="2"/>
      <c r="C774" s="2"/>
      <c r="D774" s="2"/>
      <c r="E774" s="2"/>
      <c r="F774" s="9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>
      <c r="A775" s="2"/>
      <c r="B775" s="2"/>
      <c r="C775" s="2"/>
      <c r="D775" s="2"/>
      <c r="E775" s="2"/>
      <c r="F775" s="9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>
      <c r="A776" s="2"/>
      <c r="B776" s="2"/>
      <c r="C776" s="2"/>
      <c r="D776" s="2"/>
      <c r="E776" s="2"/>
      <c r="F776" s="9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>
      <c r="A777" s="2"/>
      <c r="B777" s="2"/>
      <c r="C777" s="2"/>
      <c r="D777" s="2"/>
      <c r="E777" s="2"/>
      <c r="F777" s="9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>
      <c r="A778" s="2"/>
      <c r="B778" s="2"/>
      <c r="C778" s="2"/>
      <c r="D778" s="2"/>
      <c r="E778" s="2"/>
      <c r="F778" s="9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>
      <c r="A779" s="2"/>
      <c r="B779" s="2"/>
      <c r="C779" s="2"/>
      <c r="D779" s="2"/>
      <c r="E779" s="2"/>
      <c r="F779" s="9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>
      <c r="A780" s="2"/>
      <c r="B780" s="2"/>
      <c r="C780" s="2"/>
      <c r="D780" s="2"/>
      <c r="E780" s="2"/>
      <c r="F780" s="9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>
      <c r="A781" s="2"/>
      <c r="B781" s="2"/>
      <c r="C781" s="2"/>
      <c r="D781" s="2"/>
      <c r="E781" s="2"/>
      <c r="F781" s="9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>
      <c r="A782" s="2"/>
      <c r="B782" s="2"/>
      <c r="C782" s="2"/>
      <c r="D782" s="2"/>
      <c r="E782" s="2"/>
      <c r="F782" s="9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>
      <c r="A783" s="2"/>
      <c r="B783" s="2"/>
      <c r="C783" s="2"/>
      <c r="D783" s="2"/>
      <c r="E783" s="2"/>
      <c r="F783" s="9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>
      <c r="A784" s="2"/>
      <c r="B784" s="2"/>
      <c r="C784" s="2"/>
      <c r="D784" s="2"/>
      <c r="E784" s="2"/>
      <c r="F784" s="9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>
      <c r="A785" s="2"/>
      <c r="B785" s="2"/>
      <c r="C785" s="2"/>
      <c r="D785" s="2"/>
      <c r="E785" s="2"/>
      <c r="F785" s="9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>
      <c r="A786" s="2"/>
      <c r="B786" s="2"/>
      <c r="C786" s="2"/>
      <c r="D786" s="2"/>
      <c r="E786" s="2"/>
      <c r="F786" s="9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>
      <c r="A787" s="2"/>
      <c r="B787" s="2"/>
      <c r="C787" s="2"/>
      <c r="D787" s="2"/>
      <c r="E787" s="2"/>
      <c r="F787" s="9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>
      <c r="A788" s="2"/>
      <c r="B788" s="2"/>
      <c r="C788" s="2"/>
      <c r="D788" s="2"/>
      <c r="E788" s="2"/>
      <c r="F788" s="9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>
      <c r="A789" s="2"/>
      <c r="B789" s="2"/>
      <c r="C789" s="2"/>
      <c r="D789" s="2"/>
      <c r="E789" s="2"/>
      <c r="F789" s="9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>
      <c r="A790" s="2"/>
      <c r="B790" s="2"/>
      <c r="C790" s="2"/>
      <c r="D790" s="2"/>
      <c r="E790" s="2"/>
      <c r="F790" s="9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>
      <c r="A791" s="2"/>
      <c r="B791" s="2"/>
      <c r="C791" s="2"/>
      <c r="D791" s="2"/>
      <c r="E791" s="2"/>
      <c r="F791" s="9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>
      <c r="A792" s="2"/>
      <c r="B792" s="2"/>
      <c r="C792" s="2"/>
      <c r="D792" s="2"/>
      <c r="E792" s="2"/>
      <c r="F792" s="9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>
      <c r="A793" s="2"/>
      <c r="B793" s="2"/>
      <c r="C793" s="2"/>
      <c r="D793" s="2"/>
      <c r="E793" s="2"/>
      <c r="F793" s="9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>
      <c r="A794" s="2"/>
      <c r="B794" s="2"/>
      <c r="C794" s="2"/>
      <c r="D794" s="2"/>
      <c r="E794" s="2"/>
      <c r="F794" s="9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>
      <c r="A795" s="2"/>
      <c r="B795" s="2"/>
      <c r="C795" s="2"/>
      <c r="D795" s="2"/>
      <c r="E795" s="2"/>
      <c r="F795" s="9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>
      <c r="A796" s="2"/>
      <c r="B796" s="2"/>
      <c r="C796" s="2"/>
      <c r="D796" s="2"/>
      <c r="E796" s="2"/>
      <c r="F796" s="9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>
      <c r="A797" s="2"/>
      <c r="B797" s="2"/>
      <c r="C797" s="2"/>
      <c r="D797" s="2"/>
      <c r="E797" s="2"/>
      <c r="F797" s="9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>
      <c r="A798" s="2"/>
      <c r="B798" s="2"/>
      <c r="C798" s="2"/>
      <c r="D798" s="2"/>
      <c r="E798" s="2"/>
      <c r="F798" s="9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>
      <c r="A799" s="2"/>
      <c r="B799" s="2"/>
      <c r="C799" s="2"/>
      <c r="D799" s="2"/>
      <c r="E799" s="2"/>
      <c r="F799" s="9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>
      <c r="A800" s="2"/>
      <c r="B800" s="2"/>
      <c r="C800" s="2"/>
      <c r="D800" s="2"/>
      <c r="E800" s="2"/>
      <c r="F800" s="9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>
      <c r="A801" s="2"/>
      <c r="B801" s="2"/>
      <c r="C801" s="2"/>
      <c r="D801" s="2"/>
      <c r="E801" s="2"/>
      <c r="F801" s="9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>
      <c r="A802" s="2"/>
      <c r="B802" s="2"/>
      <c r="C802" s="2"/>
      <c r="D802" s="2"/>
      <c r="E802" s="2"/>
      <c r="F802" s="9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>
      <c r="A803" s="2"/>
      <c r="B803" s="2"/>
      <c r="C803" s="2"/>
      <c r="D803" s="2"/>
      <c r="E803" s="2"/>
      <c r="F803" s="9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>
      <c r="A804" s="2"/>
      <c r="B804" s="2"/>
      <c r="C804" s="2"/>
      <c r="D804" s="2"/>
      <c r="E804" s="2"/>
      <c r="F804" s="9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>
      <c r="A805" s="2"/>
      <c r="B805" s="2"/>
      <c r="C805" s="2"/>
      <c r="D805" s="2"/>
      <c r="E805" s="2"/>
      <c r="F805" s="9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>
      <c r="A806" s="2"/>
      <c r="B806" s="2"/>
      <c r="C806" s="2"/>
      <c r="D806" s="2"/>
      <c r="E806" s="2"/>
      <c r="F806" s="9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>
      <c r="A807" s="2"/>
      <c r="B807" s="2"/>
      <c r="C807" s="2"/>
      <c r="D807" s="2"/>
      <c r="E807" s="2"/>
      <c r="F807" s="9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>
      <c r="A808" s="2"/>
      <c r="B808" s="2"/>
      <c r="C808" s="2"/>
      <c r="D808" s="2"/>
      <c r="E808" s="2"/>
      <c r="F808" s="9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>
      <c r="A809" s="2"/>
      <c r="B809" s="2"/>
      <c r="C809" s="2"/>
      <c r="D809" s="2"/>
      <c r="E809" s="2"/>
      <c r="F809" s="9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>
      <c r="A810" s="2"/>
      <c r="B810" s="2"/>
      <c r="C810" s="2"/>
      <c r="D810" s="2"/>
      <c r="E810" s="2"/>
      <c r="F810" s="9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>
      <c r="A811" s="2"/>
      <c r="B811" s="2"/>
      <c r="C811" s="2"/>
      <c r="D811" s="2"/>
      <c r="E811" s="2"/>
      <c r="F811" s="9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>
      <c r="A812" s="2"/>
      <c r="B812" s="2"/>
      <c r="C812" s="2"/>
      <c r="D812" s="2"/>
      <c r="E812" s="2"/>
      <c r="F812" s="9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>
      <c r="A813" s="2"/>
      <c r="B813" s="2"/>
      <c r="C813" s="2"/>
      <c r="D813" s="2"/>
      <c r="E813" s="2"/>
      <c r="F813" s="9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>
      <c r="A814" s="2"/>
      <c r="B814" s="2"/>
      <c r="C814" s="2"/>
      <c r="D814" s="2"/>
      <c r="E814" s="2"/>
      <c r="F814" s="9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>
      <c r="A815" s="2"/>
      <c r="B815" s="2"/>
      <c r="C815" s="2"/>
      <c r="D815" s="2"/>
      <c r="E815" s="2"/>
      <c r="F815" s="9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>
      <c r="A816" s="2"/>
      <c r="B816" s="2"/>
      <c r="C816" s="2"/>
      <c r="D816" s="2"/>
      <c r="E816" s="2"/>
      <c r="F816" s="9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>
      <c r="A817" s="2"/>
      <c r="B817" s="2"/>
      <c r="C817" s="2"/>
      <c r="D817" s="2"/>
      <c r="E817" s="2"/>
      <c r="F817" s="9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>
      <c r="A818" s="2"/>
      <c r="B818" s="2"/>
      <c r="C818" s="2"/>
      <c r="D818" s="2"/>
      <c r="E818" s="2"/>
      <c r="F818" s="9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>
      <c r="A819" s="2"/>
      <c r="B819" s="2"/>
      <c r="C819" s="2"/>
      <c r="D819" s="2"/>
      <c r="E819" s="2"/>
      <c r="F819" s="9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>
      <c r="A820" s="2"/>
      <c r="B820" s="2"/>
      <c r="C820" s="2"/>
      <c r="D820" s="2"/>
      <c r="E820" s="2"/>
      <c r="F820" s="9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>
      <c r="A821" s="2"/>
      <c r="B821" s="2"/>
      <c r="C821" s="2"/>
      <c r="D821" s="2"/>
      <c r="E821" s="2"/>
      <c r="F821" s="9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>
      <c r="A822" s="2"/>
      <c r="B822" s="2"/>
      <c r="C822" s="2"/>
      <c r="D822" s="2"/>
      <c r="E822" s="2"/>
      <c r="F822" s="9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>
      <c r="A823" s="2"/>
      <c r="B823" s="2"/>
      <c r="C823" s="2"/>
      <c r="D823" s="2"/>
      <c r="E823" s="2"/>
      <c r="F823" s="9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>
      <c r="A824" s="2"/>
      <c r="B824" s="2"/>
      <c r="C824" s="2"/>
      <c r="D824" s="2"/>
      <c r="E824" s="2"/>
      <c r="F824" s="9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>
      <c r="A825" s="2"/>
      <c r="B825" s="2"/>
      <c r="C825" s="2"/>
      <c r="D825" s="2"/>
      <c r="E825" s="2"/>
      <c r="F825" s="9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>
      <c r="A826" s="2"/>
      <c r="B826" s="2"/>
      <c r="C826" s="2"/>
      <c r="D826" s="2"/>
      <c r="E826" s="2"/>
      <c r="F826" s="9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>
      <c r="A827" s="2"/>
      <c r="B827" s="2"/>
      <c r="C827" s="2"/>
      <c r="D827" s="2"/>
      <c r="E827" s="2"/>
      <c r="F827" s="9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>
      <c r="A828" s="2"/>
      <c r="B828" s="2"/>
      <c r="C828" s="2"/>
      <c r="D828" s="2"/>
      <c r="E828" s="2"/>
      <c r="F828" s="9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>
      <c r="A829" s="2"/>
      <c r="B829" s="2"/>
      <c r="C829" s="2"/>
      <c r="D829" s="2"/>
      <c r="E829" s="2"/>
      <c r="F829" s="9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>
      <c r="A830" s="2"/>
      <c r="B830" s="2"/>
      <c r="C830" s="2"/>
      <c r="D830" s="2"/>
      <c r="E830" s="2"/>
      <c r="F830" s="9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>
      <c r="A831" s="2"/>
      <c r="B831" s="2"/>
      <c r="C831" s="2"/>
      <c r="D831" s="2"/>
      <c r="E831" s="2"/>
      <c r="F831" s="9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>
      <c r="A832" s="2"/>
      <c r="B832" s="2"/>
      <c r="C832" s="2"/>
      <c r="D832" s="2"/>
      <c r="E832" s="2"/>
      <c r="F832" s="9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>
      <c r="A833" s="2"/>
      <c r="B833" s="2"/>
      <c r="C833" s="2"/>
      <c r="D833" s="2"/>
      <c r="E833" s="2"/>
      <c r="F833" s="9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>
      <c r="A834" s="2"/>
      <c r="B834" s="2"/>
      <c r="C834" s="2"/>
      <c r="D834" s="2"/>
      <c r="E834" s="2"/>
      <c r="F834" s="9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>
      <c r="A835" s="2"/>
      <c r="B835" s="2"/>
      <c r="C835" s="2"/>
      <c r="D835" s="2"/>
      <c r="E835" s="2"/>
      <c r="F835" s="9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>
      <c r="A836" s="2"/>
      <c r="B836" s="2"/>
      <c r="C836" s="2"/>
      <c r="D836" s="2"/>
      <c r="E836" s="2"/>
      <c r="F836" s="9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>
      <c r="A837" s="2"/>
      <c r="B837" s="2"/>
      <c r="C837" s="2"/>
      <c r="D837" s="2"/>
      <c r="E837" s="2"/>
      <c r="F837" s="9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>
      <c r="A838" s="2"/>
      <c r="B838" s="2"/>
      <c r="C838" s="2"/>
      <c r="D838" s="2"/>
      <c r="E838" s="2"/>
      <c r="F838" s="9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>
      <c r="A839" s="2"/>
      <c r="B839" s="2"/>
      <c r="C839" s="2"/>
      <c r="D839" s="2"/>
      <c r="E839" s="2"/>
      <c r="F839" s="9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>
      <c r="A840" s="2"/>
      <c r="B840" s="2"/>
      <c r="C840" s="2"/>
      <c r="D840" s="2"/>
      <c r="E840" s="2"/>
      <c r="F840" s="9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>
      <c r="A841" s="2"/>
      <c r="B841" s="2"/>
      <c r="C841" s="2"/>
      <c r="D841" s="2"/>
      <c r="E841" s="2"/>
      <c r="F841" s="9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>
      <c r="A842" s="2"/>
      <c r="B842" s="2"/>
      <c r="C842" s="2"/>
      <c r="D842" s="2"/>
      <c r="E842" s="2"/>
      <c r="F842" s="9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>
      <c r="A843" s="2"/>
      <c r="B843" s="2"/>
      <c r="C843" s="2"/>
      <c r="D843" s="2"/>
      <c r="E843" s="2"/>
      <c r="F843" s="9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>
      <c r="A844" s="2"/>
      <c r="B844" s="2"/>
      <c r="C844" s="2"/>
      <c r="D844" s="2"/>
      <c r="E844" s="2"/>
      <c r="F844" s="9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>
      <c r="A845" s="2"/>
      <c r="B845" s="2"/>
      <c r="C845" s="2"/>
      <c r="D845" s="2"/>
      <c r="E845" s="2"/>
      <c r="F845" s="9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>
      <c r="A846" s="2"/>
      <c r="B846" s="2"/>
      <c r="C846" s="2"/>
      <c r="D846" s="2"/>
      <c r="E846" s="2"/>
      <c r="F846" s="9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>
      <c r="A847" s="2"/>
      <c r="B847" s="2"/>
      <c r="C847" s="2"/>
      <c r="D847" s="2"/>
      <c r="E847" s="2"/>
      <c r="F847" s="9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>
      <c r="A848" s="2"/>
      <c r="B848" s="2"/>
      <c r="C848" s="2"/>
      <c r="D848" s="2"/>
      <c r="E848" s="2"/>
      <c r="F848" s="9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>
      <c r="A849" s="2"/>
      <c r="B849" s="2"/>
      <c r="C849" s="2"/>
      <c r="D849" s="2"/>
      <c r="E849" s="2"/>
      <c r="F849" s="9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>
      <c r="A850" s="2"/>
      <c r="B850" s="2"/>
      <c r="C850" s="2"/>
      <c r="D850" s="2"/>
      <c r="E850" s="2"/>
      <c r="F850" s="9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>
      <c r="A851" s="2"/>
      <c r="B851" s="2"/>
      <c r="C851" s="2"/>
      <c r="D851" s="2"/>
      <c r="E851" s="2"/>
      <c r="F851" s="9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>
      <c r="A852" s="2"/>
      <c r="B852" s="2"/>
      <c r="C852" s="2"/>
      <c r="D852" s="2"/>
      <c r="E852" s="2"/>
      <c r="F852" s="9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>
      <c r="A853" s="2"/>
      <c r="B853" s="2"/>
      <c r="C853" s="2"/>
      <c r="D853" s="2"/>
      <c r="E853" s="2"/>
      <c r="F853" s="9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>
      <c r="A854" s="2"/>
      <c r="B854" s="2"/>
      <c r="C854" s="2"/>
      <c r="D854" s="2"/>
      <c r="E854" s="2"/>
      <c r="F854" s="9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>
      <c r="A855" s="2"/>
      <c r="B855" s="2"/>
      <c r="C855" s="2"/>
      <c r="D855" s="2"/>
      <c r="E855" s="2"/>
      <c r="F855" s="9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>
      <c r="A856" s="2"/>
      <c r="B856" s="2"/>
      <c r="C856" s="2"/>
      <c r="D856" s="2"/>
      <c r="E856" s="2"/>
      <c r="F856" s="9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>
      <c r="A857" s="2"/>
      <c r="B857" s="2"/>
      <c r="C857" s="2"/>
      <c r="D857" s="2"/>
      <c r="E857" s="2"/>
      <c r="F857" s="9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>
      <c r="A858" s="2"/>
      <c r="B858" s="2"/>
      <c r="C858" s="2"/>
      <c r="D858" s="2"/>
      <c r="E858" s="2"/>
      <c r="F858" s="9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>
      <c r="A859" s="2"/>
      <c r="B859" s="2"/>
      <c r="C859" s="2"/>
      <c r="D859" s="2"/>
      <c r="E859" s="2"/>
      <c r="F859" s="9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>
      <c r="A860" s="2"/>
      <c r="B860" s="2"/>
      <c r="C860" s="2"/>
      <c r="D860" s="2"/>
      <c r="E860" s="2"/>
      <c r="F860" s="9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>
      <c r="A861" s="2"/>
      <c r="B861" s="2"/>
      <c r="C861" s="2"/>
      <c r="D861" s="2"/>
      <c r="E861" s="2"/>
      <c r="F861" s="9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>
      <c r="A862" s="2"/>
      <c r="B862" s="2"/>
      <c r="C862" s="2"/>
      <c r="D862" s="2"/>
      <c r="E862" s="2"/>
      <c r="F862" s="9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>
      <c r="A863" s="2"/>
      <c r="B863" s="2"/>
      <c r="C863" s="2"/>
      <c r="D863" s="2"/>
      <c r="E863" s="2"/>
      <c r="F863" s="9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>
      <c r="A864" s="2"/>
      <c r="B864" s="2"/>
      <c r="C864" s="2"/>
      <c r="D864" s="2"/>
      <c r="E864" s="2"/>
      <c r="F864" s="9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>
      <c r="A865" s="2"/>
      <c r="B865" s="2"/>
      <c r="C865" s="2"/>
      <c r="D865" s="2"/>
      <c r="E865" s="2"/>
      <c r="F865" s="9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>
      <c r="A866" s="2"/>
      <c r="B866" s="2"/>
      <c r="C866" s="2"/>
      <c r="D866" s="2"/>
      <c r="E866" s="2"/>
      <c r="F866" s="9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>
      <c r="A867" s="2"/>
      <c r="B867" s="2"/>
      <c r="C867" s="2"/>
      <c r="D867" s="2"/>
      <c r="E867" s="2"/>
      <c r="F867" s="9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>
      <c r="A868" s="2"/>
      <c r="B868" s="2"/>
      <c r="C868" s="2"/>
      <c r="D868" s="2"/>
      <c r="E868" s="2"/>
      <c r="F868" s="9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>
      <c r="A869" s="2"/>
      <c r="B869" s="2"/>
      <c r="C869" s="2"/>
      <c r="D869" s="2"/>
      <c r="E869" s="2"/>
      <c r="F869" s="9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>
      <c r="A870" s="2"/>
      <c r="B870" s="2"/>
      <c r="C870" s="2"/>
      <c r="D870" s="2"/>
      <c r="E870" s="2"/>
      <c r="F870" s="9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>
      <c r="A871" s="2"/>
      <c r="B871" s="2"/>
      <c r="C871" s="2"/>
      <c r="D871" s="2"/>
      <c r="E871" s="2"/>
      <c r="F871" s="9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>
      <c r="A872" s="2"/>
      <c r="B872" s="2"/>
      <c r="C872" s="2"/>
      <c r="D872" s="2"/>
      <c r="E872" s="2"/>
      <c r="F872" s="9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>
      <c r="A873" s="2"/>
      <c r="B873" s="2"/>
      <c r="C873" s="2"/>
      <c r="D873" s="2"/>
      <c r="E873" s="2"/>
      <c r="F873" s="9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>
      <c r="A874" s="2"/>
      <c r="B874" s="2"/>
      <c r="C874" s="2"/>
      <c r="D874" s="2"/>
      <c r="E874" s="2"/>
      <c r="F874" s="9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>
      <c r="A875" s="2"/>
      <c r="B875" s="2"/>
      <c r="C875" s="2"/>
      <c r="D875" s="2"/>
      <c r="E875" s="2"/>
      <c r="F875" s="9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>
      <c r="A876" s="2"/>
      <c r="B876" s="2"/>
      <c r="C876" s="2"/>
      <c r="D876" s="2"/>
      <c r="E876" s="2"/>
      <c r="F876" s="9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>
      <c r="A877" s="2"/>
      <c r="B877" s="2"/>
      <c r="C877" s="2"/>
      <c r="D877" s="2"/>
      <c r="E877" s="2"/>
      <c r="F877" s="9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>
      <c r="A878" s="2"/>
      <c r="B878" s="2"/>
      <c r="C878" s="2"/>
      <c r="D878" s="2"/>
      <c r="E878" s="2"/>
      <c r="F878" s="9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>
      <c r="A879" s="2"/>
      <c r="B879" s="2"/>
      <c r="C879" s="2"/>
      <c r="D879" s="2"/>
      <c r="E879" s="2"/>
      <c r="F879" s="9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>
      <c r="A880" s="2"/>
      <c r="B880" s="2"/>
      <c r="C880" s="2"/>
      <c r="D880" s="2"/>
      <c r="E880" s="2"/>
      <c r="F880" s="9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>
      <c r="A881" s="2"/>
      <c r="B881" s="2"/>
      <c r="C881" s="2"/>
      <c r="D881" s="2"/>
      <c r="E881" s="2"/>
      <c r="F881" s="9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>
      <c r="A882" s="2"/>
      <c r="B882" s="2"/>
      <c r="C882" s="2"/>
      <c r="D882" s="2"/>
      <c r="E882" s="2"/>
      <c r="F882" s="9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>
      <c r="A883" s="2"/>
      <c r="B883" s="2"/>
      <c r="C883" s="2"/>
      <c r="D883" s="2"/>
      <c r="E883" s="2"/>
      <c r="F883" s="9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>
      <c r="A884" s="2"/>
      <c r="B884" s="2"/>
      <c r="C884" s="2"/>
      <c r="D884" s="2"/>
      <c r="E884" s="2"/>
      <c r="F884" s="9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>
      <c r="A885" s="2"/>
      <c r="B885" s="2"/>
      <c r="C885" s="2"/>
      <c r="D885" s="2"/>
      <c r="E885" s="2"/>
      <c r="F885" s="9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>
      <c r="A886" s="2"/>
      <c r="B886" s="2"/>
      <c r="C886" s="2"/>
      <c r="D886" s="2"/>
      <c r="E886" s="2"/>
      <c r="F886" s="9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>
      <c r="A887" s="2"/>
      <c r="B887" s="2"/>
      <c r="C887" s="2"/>
      <c r="D887" s="2"/>
      <c r="E887" s="2"/>
      <c r="F887" s="9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>
      <c r="A888" s="2"/>
      <c r="B888" s="2"/>
      <c r="C888" s="2"/>
      <c r="D888" s="2"/>
      <c r="E888" s="2"/>
      <c r="F888" s="9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>
      <c r="A889" s="2"/>
      <c r="B889" s="2"/>
      <c r="C889" s="2"/>
      <c r="D889" s="2"/>
      <c r="E889" s="2"/>
      <c r="F889" s="9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>
      <c r="A890" s="2"/>
      <c r="B890" s="2"/>
      <c r="C890" s="2"/>
      <c r="D890" s="2"/>
      <c r="E890" s="2"/>
      <c r="F890" s="9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>
      <c r="A891" s="2"/>
      <c r="B891" s="2"/>
      <c r="C891" s="2"/>
      <c r="D891" s="2"/>
      <c r="E891" s="2"/>
      <c r="F891" s="9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>
      <c r="A892" s="2"/>
      <c r="B892" s="2"/>
      <c r="C892" s="2"/>
      <c r="D892" s="2"/>
      <c r="E892" s="2"/>
      <c r="F892" s="9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>
      <c r="A893" s="2"/>
      <c r="B893" s="2"/>
      <c r="C893" s="2"/>
      <c r="D893" s="2"/>
      <c r="E893" s="2"/>
      <c r="F893" s="9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>
      <c r="A894" s="2"/>
      <c r="B894" s="2"/>
      <c r="C894" s="2"/>
      <c r="D894" s="2"/>
      <c r="E894" s="2"/>
      <c r="F894" s="9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>
      <c r="A895" s="2"/>
      <c r="B895" s="2"/>
      <c r="C895" s="2"/>
      <c r="D895" s="2"/>
      <c r="E895" s="2"/>
      <c r="F895" s="9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>
      <c r="A896" s="2"/>
      <c r="B896" s="2"/>
      <c r="C896" s="2"/>
      <c r="D896" s="2"/>
      <c r="E896" s="2"/>
      <c r="F896" s="9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>
      <c r="A897" s="2"/>
      <c r="B897" s="2"/>
      <c r="C897" s="2"/>
      <c r="D897" s="2"/>
      <c r="E897" s="2"/>
      <c r="F897" s="9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>
      <c r="A898" s="2"/>
      <c r="B898" s="2"/>
      <c r="C898" s="2"/>
      <c r="D898" s="2"/>
      <c r="E898" s="2"/>
      <c r="F898" s="9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>
      <c r="A899" s="2"/>
      <c r="B899" s="2"/>
      <c r="C899" s="2"/>
      <c r="D899" s="2"/>
      <c r="E899" s="2"/>
      <c r="F899" s="9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>
      <c r="A900" s="2"/>
      <c r="B900" s="2"/>
      <c r="C900" s="2"/>
      <c r="D900" s="2"/>
      <c r="E900" s="2"/>
      <c r="F900" s="9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>
      <c r="A901" s="2"/>
      <c r="B901" s="2"/>
      <c r="C901" s="2"/>
      <c r="D901" s="2"/>
      <c r="E901" s="2"/>
      <c r="F901" s="9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>
      <c r="A902" s="2"/>
      <c r="B902" s="2"/>
      <c r="C902" s="2"/>
      <c r="D902" s="2"/>
      <c r="E902" s="2"/>
      <c r="F902" s="9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>
      <c r="A903" s="2"/>
      <c r="B903" s="2"/>
      <c r="C903" s="2"/>
      <c r="D903" s="2"/>
      <c r="E903" s="2"/>
      <c r="F903" s="9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>
      <c r="A904" s="2"/>
      <c r="B904" s="2"/>
      <c r="C904" s="2"/>
      <c r="D904" s="2"/>
      <c r="E904" s="2"/>
      <c r="F904" s="9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>
      <c r="A905" s="2"/>
      <c r="B905" s="2"/>
      <c r="C905" s="2"/>
      <c r="D905" s="2"/>
      <c r="E905" s="2"/>
      <c r="F905" s="9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>
      <c r="A906" s="2"/>
      <c r="B906" s="2"/>
      <c r="C906" s="2"/>
      <c r="D906" s="2"/>
      <c r="E906" s="2"/>
      <c r="F906" s="9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>
      <c r="A907" s="2"/>
      <c r="B907" s="2"/>
      <c r="C907" s="2"/>
      <c r="D907" s="2"/>
      <c r="E907" s="2"/>
      <c r="F907" s="9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>
      <c r="A908" s="2"/>
      <c r="B908" s="2"/>
      <c r="C908" s="2"/>
      <c r="D908" s="2"/>
      <c r="E908" s="2"/>
      <c r="F908" s="9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>
      <c r="A909" s="2"/>
      <c r="B909" s="2"/>
      <c r="C909" s="2"/>
      <c r="D909" s="2"/>
      <c r="E909" s="2"/>
      <c r="F909" s="9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>
      <c r="A910" s="2"/>
      <c r="B910" s="2"/>
      <c r="C910" s="2"/>
      <c r="D910" s="2"/>
      <c r="E910" s="2"/>
      <c r="F910" s="9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>
      <c r="A911" s="2"/>
      <c r="B911" s="2"/>
      <c r="C911" s="2"/>
      <c r="D911" s="2"/>
      <c r="E911" s="2"/>
      <c r="F911" s="9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>
      <c r="A912" s="2"/>
      <c r="B912" s="2"/>
      <c r="C912" s="2"/>
      <c r="D912" s="2"/>
      <c r="E912" s="2"/>
      <c r="F912" s="9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>
      <c r="A913" s="2"/>
      <c r="B913" s="2"/>
      <c r="C913" s="2"/>
      <c r="D913" s="2"/>
      <c r="E913" s="2"/>
      <c r="F913" s="9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>
      <c r="A914" s="2"/>
      <c r="B914" s="2"/>
      <c r="C914" s="2"/>
      <c r="D914" s="2"/>
      <c r="E914" s="2"/>
      <c r="F914" s="9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>
      <c r="A915" s="2"/>
      <c r="B915" s="2"/>
      <c r="C915" s="2"/>
      <c r="D915" s="2"/>
      <c r="E915" s="2"/>
      <c r="F915" s="9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>
      <c r="A916" s="2"/>
      <c r="B916" s="2"/>
      <c r="C916" s="2"/>
      <c r="D916" s="2"/>
      <c r="E916" s="2"/>
      <c r="F916" s="9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>
      <c r="A917" s="2"/>
      <c r="B917" s="2"/>
      <c r="C917" s="2"/>
      <c r="D917" s="2"/>
      <c r="E917" s="2"/>
      <c r="F917" s="9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>
      <c r="A918" s="2"/>
      <c r="B918" s="2"/>
      <c r="C918" s="2"/>
      <c r="D918" s="2"/>
      <c r="E918" s="2"/>
      <c r="F918" s="9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>
      <c r="A919" s="2"/>
      <c r="B919" s="2"/>
      <c r="C919" s="2"/>
      <c r="D919" s="2"/>
      <c r="E919" s="2"/>
      <c r="F919" s="9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>
      <c r="A920" s="2"/>
      <c r="B920" s="2"/>
      <c r="C920" s="2"/>
      <c r="D920" s="2"/>
      <c r="E920" s="2"/>
      <c r="F920" s="9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>
      <c r="A921" s="2"/>
      <c r="B921" s="2"/>
      <c r="C921" s="2"/>
      <c r="D921" s="2"/>
      <c r="E921" s="2"/>
      <c r="F921" s="9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>
      <c r="A922" s="2"/>
      <c r="B922" s="2"/>
      <c r="C922" s="2"/>
      <c r="D922" s="2"/>
      <c r="E922" s="2"/>
      <c r="F922" s="9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>
      <c r="A923" s="2"/>
      <c r="B923" s="2"/>
      <c r="C923" s="2"/>
      <c r="D923" s="2"/>
      <c r="E923" s="2"/>
      <c r="F923" s="9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>
      <c r="A924" s="2"/>
      <c r="B924" s="2"/>
      <c r="C924" s="2"/>
      <c r="D924" s="2"/>
      <c r="E924" s="2"/>
      <c r="F924" s="9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>
      <c r="A925" s="2"/>
      <c r="B925" s="2"/>
      <c r="C925" s="2"/>
      <c r="D925" s="2"/>
      <c r="E925" s="2"/>
      <c r="F925" s="9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>
      <c r="A926" s="2"/>
      <c r="B926" s="2"/>
      <c r="C926" s="2"/>
      <c r="D926" s="2"/>
      <c r="E926" s="2"/>
      <c r="F926" s="9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>
      <c r="A927" s="2"/>
      <c r="B927" s="2"/>
      <c r="C927" s="2"/>
      <c r="D927" s="2"/>
      <c r="E927" s="2"/>
      <c r="F927" s="9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>
      <c r="A928" s="2"/>
      <c r="B928" s="2"/>
      <c r="C928" s="2"/>
      <c r="D928" s="2"/>
      <c r="E928" s="2"/>
      <c r="F928" s="9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>
      <c r="A929" s="2"/>
      <c r="B929" s="2"/>
      <c r="C929" s="2"/>
      <c r="D929" s="2"/>
      <c r="E929" s="2"/>
      <c r="F929" s="9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>
      <c r="A930" s="2"/>
      <c r="B930" s="2"/>
      <c r="C930" s="2"/>
      <c r="D930" s="2"/>
      <c r="E930" s="2"/>
      <c r="F930" s="9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>
      <c r="A931" s="2"/>
      <c r="B931" s="2"/>
      <c r="C931" s="2"/>
      <c r="D931" s="2"/>
      <c r="E931" s="2"/>
      <c r="F931" s="9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>
      <c r="A932" s="2"/>
      <c r="B932" s="2"/>
      <c r="C932" s="2"/>
      <c r="D932" s="2"/>
      <c r="E932" s="2"/>
      <c r="F932" s="9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>
      <c r="A933" s="2"/>
      <c r="B933" s="2"/>
      <c r="C933" s="2"/>
      <c r="D933" s="2"/>
      <c r="E933" s="2"/>
      <c r="F933" s="9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>
      <c r="A934" s="2"/>
      <c r="B934" s="2"/>
      <c r="C934" s="2"/>
      <c r="D934" s="2"/>
      <c r="E934" s="2"/>
      <c r="F934" s="9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>
      <c r="A935" s="2"/>
      <c r="B935" s="2"/>
      <c r="C935" s="2"/>
      <c r="D935" s="2"/>
      <c r="E935" s="2"/>
      <c r="F935" s="9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>
      <c r="A936" s="2"/>
      <c r="B936" s="2"/>
      <c r="C936" s="2"/>
      <c r="D936" s="2"/>
      <c r="E936" s="2"/>
      <c r="F936" s="9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>
      <c r="A937" s="2"/>
      <c r="B937" s="2"/>
      <c r="C937" s="2"/>
      <c r="D937" s="2"/>
      <c r="E937" s="2"/>
      <c r="F937" s="9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>
      <c r="A938" s="2"/>
      <c r="B938" s="2"/>
      <c r="C938" s="2"/>
      <c r="D938" s="2"/>
      <c r="E938" s="2"/>
      <c r="F938" s="9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>
      <c r="A939" s="2"/>
      <c r="B939" s="2"/>
      <c r="C939" s="2"/>
      <c r="D939" s="2"/>
      <c r="E939" s="2"/>
      <c r="F939" s="9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>
      <c r="A940" s="2"/>
      <c r="B940" s="2"/>
      <c r="C940" s="2"/>
      <c r="D940" s="2"/>
      <c r="E940" s="2"/>
      <c r="F940" s="9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>
      <c r="A941" s="2"/>
      <c r="B941" s="2"/>
      <c r="C941" s="2"/>
      <c r="D941" s="2"/>
      <c r="E941" s="2"/>
      <c r="F941" s="9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>
      <c r="A942" s="2"/>
      <c r="B942" s="2"/>
      <c r="C942" s="2"/>
      <c r="D942" s="2"/>
      <c r="E942" s="2"/>
      <c r="F942" s="9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>
      <c r="A943" s="2"/>
      <c r="B943" s="2"/>
      <c r="C943" s="2"/>
      <c r="D943" s="2"/>
      <c r="E943" s="2"/>
      <c r="F943" s="9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>
      <c r="A944" s="2"/>
      <c r="B944" s="2"/>
      <c r="C944" s="2"/>
      <c r="D944" s="2"/>
      <c r="E944" s="2"/>
      <c r="F944" s="9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>
      <c r="A945" s="2"/>
      <c r="B945" s="2"/>
      <c r="C945" s="2"/>
      <c r="D945" s="2"/>
      <c r="E945" s="2"/>
      <c r="F945" s="9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>
      <c r="A946" s="2"/>
      <c r="B946" s="2"/>
      <c r="C946" s="2"/>
      <c r="D946" s="2"/>
      <c r="E946" s="2"/>
      <c r="F946" s="9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>
      <c r="A947" s="2"/>
      <c r="B947" s="2"/>
      <c r="C947" s="2"/>
      <c r="D947" s="2"/>
      <c r="E947" s="2"/>
      <c r="F947" s="9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>
      <c r="A948" s="2"/>
      <c r="B948" s="2"/>
      <c r="C948" s="2"/>
      <c r="D948" s="2"/>
      <c r="E948" s="2"/>
      <c r="F948" s="9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>
      <c r="A949" s="2"/>
      <c r="B949" s="2"/>
      <c r="C949" s="2"/>
      <c r="D949" s="2"/>
      <c r="E949" s="2"/>
      <c r="F949" s="9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>
      <c r="A950" s="2"/>
      <c r="B950" s="2"/>
      <c r="C950" s="2"/>
      <c r="D950" s="2"/>
      <c r="E950" s="2"/>
      <c r="F950" s="9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>
      <c r="A951" s="2"/>
      <c r="B951" s="2"/>
      <c r="C951" s="2"/>
      <c r="D951" s="2"/>
      <c r="E951" s="2"/>
      <c r="F951" s="9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>
      <c r="A952" s="2"/>
      <c r="B952" s="2"/>
      <c r="C952" s="2"/>
      <c r="D952" s="2"/>
      <c r="E952" s="2"/>
      <c r="F952" s="9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>
      <c r="A953" s="2"/>
      <c r="B953" s="2"/>
      <c r="C953" s="2"/>
      <c r="D953" s="2"/>
      <c r="E953" s="2"/>
      <c r="F953" s="9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>
      <c r="A954" s="2"/>
      <c r="B954" s="2"/>
      <c r="C954" s="2"/>
      <c r="D954" s="2"/>
      <c r="E954" s="2"/>
      <c r="F954" s="9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>
      <c r="A955" s="2"/>
      <c r="B955" s="2"/>
      <c r="C955" s="2"/>
      <c r="D955" s="2"/>
      <c r="E955" s="2"/>
      <c r="F955" s="9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>
      <c r="A956" s="2"/>
      <c r="B956" s="2"/>
      <c r="C956" s="2"/>
      <c r="D956" s="2"/>
      <c r="E956" s="2"/>
      <c r="F956" s="9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>
      <c r="A957" s="2"/>
      <c r="B957" s="2"/>
      <c r="C957" s="2"/>
      <c r="D957" s="2"/>
      <c r="E957" s="2"/>
      <c r="F957" s="9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>
      <c r="A958" s="2"/>
      <c r="B958" s="2"/>
      <c r="C958" s="2"/>
      <c r="D958" s="2"/>
      <c r="E958" s="2"/>
      <c r="F958" s="9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>
      <c r="A959" s="2"/>
      <c r="B959" s="2"/>
      <c r="C959" s="2"/>
      <c r="D959" s="2"/>
      <c r="E959" s="2"/>
      <c r="F959" s="9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>
      <c r="A960" s="2"/>
      <c r="B960" s="2"/>
      <c r="C960" s="2"/>
      <c r="D960" s="2"/>
      <c r="E960" s="2"/>
      <c r="F960" s="9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>
      <c r="A961" s="2"/>
      <c r="B961" s="2"/>
      <c r="C961" s="2"/>
      <c r="D961" s="2"/>
      <c r="E961" s="2"/>
      <c r="F961" s="9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>
      <c r="A962" s="2"/>
      <c r="B962" s="2"/>
      <c r="C962" s="2"/>
      <c r="D962" s="2"/>
      <c r="E962" s="2"/>
      <c r="F962" s="9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>
      <c r="A963" s="2"/>
      <c r="B963" s="2"/>
      <c r="C963" s="2"/>
      <c r="D963" s="2"/>
      <c r="E963" s="2"/>
      <c r="F963" s="9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>
      <c r="A964" s="2"/>
      <c r="B964" s="2"/>
      <c r="C964" s="2"/>
      <c r="D964" s="2"/>
      <c r="E964" s="2"/>
      <c r="F964" s="9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>
      <c r="A965" s="2"/>
      <c r="B965" s="2"/>
      <c r="C965" s="2"/>
      <c r="D965" s="2"/>
      <c r="E965" s="2"/>
      <c r="F965" s="9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>
      <c r="A966" s="2"/>
      <c r="B966" s="2"/>
      <c r="C966" s="2"/>
      <c r="D966" s="2"/>
      <c r="E966" s="2"/>
      <c r="F966" s="9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>
      <c r="A967" s="2"/>
      <c r="B967" s="2"/>
      <c r="C967" s="2"/>
      <c r="D967" s="2"/>
      <c r="E967" s="2"/>
      <c r="F967" s="9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>
      <c r="A968" s="2"/>
      <c r="B968" s="2"/>
      <c r="C968" s="2"/>
      <c r="D968" s="2"/>
      <c r="E968" s="2"/>
      <c r="F968" s="9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>
      <c r="A969" s="2"/>
      <c r="B969" s="2"/>
      <c r="C969" s="2"/>
      <c r="D969" s="2"/>
      <c r="E969" s="2"/>
      <c r="F969" s="9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>
      <c r="A970" s="2"/>
      <c r="B970" s="2"/>
      <c r="C970" s="2"/>
      <c r="D970" s="2"/>
      <c r="E970" s="2"/>
      <c r="F970" s="9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>
      <c r="A971" s="2"/>
      <c r="B971" s="2"/>
      <c r="C971" s="2"/>
      <c r="D971" s="2"/>
      <c r="E971" s="2"/>
      <c r="F971" s="9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>
      <c r="A972" s="2"/>
      <c r="B972" s="2"/>
      <c r="C972" s="2"/>
      <c r="D972" s="2"/>
      <c r="E972" s="2"/>
      <c r="F972" s="9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>
      <c r="A973" s="2"/>
      <c r="B973" s="2"/>
      <c r="C973" s="2"/>
      <c r="D973" s="2"/>
      <c r="E973" s="2"/>
      <c r="F973" s="9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>
      <c r="A974" s="2"/>
      <c r="B974" s="2"/>
      <c r="C974" s="2"/>
      <c r="D974" s="2"/>
      <c r="E974" s="2"/>
      <c r="F974" s="9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>
      <c r="A975" s="2"/>
      <c r="B975" s="2"/>
      <c r="C975" s="2"/>
      <c r="D975" s="2"/>
      <c r="E975" s="2"/>
      <c r="F975" s="9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>
      <c r="A976" s="2"/>
      <c r="B976" s="2"/>
      <c r="C976" s="2"/>
      <c r="D976" s="2"/>
      <c r="E976" s="2"/>
      <c r="F976" s="9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>
      <c r="A977" s="2"/>
      <c r="B977" s="2"/>
      <c r="C977" s="2"/>
      <c r="D977" s="2"/>
      <c r="E977" s="2"/>
      <c r="F977" s="9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>
      <c r="A978" s="2"/>
      <c r="B978" s="2"/>
      <c r="C978" s="2"/>
      <c r="D978" s="2"/>
      <c r="E978" s="2"/>
      <c r="F978" s="9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>
      <c r="A979" s="2"/>
      <c r="B979" s="2"/>
      <c r="C979" s="2"/>
      <c r="D979" s="2"/>
      <c r="E979" s="2"/>
      <c r="F979" s="9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>
      <c r="A980" s="2"/>
      <c r="B980" s="2"/>
      <c r="C980" s="2"/>
      <c r="D980" s="2"/>
      <c r="E980" s="2"/>
      <c r="F980" s="9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>
      <c r="A981" s="2"/>
      <c r="B981" s="2"/>
      <c r="C981" s="2"/>
      <c r="D981" s="2"/>
      <c r="E981" s="2"/>
      <c r="F981" s="9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>
      <c r="A982" s="2"/>
      <c r="B982" s="2"/>
      <c r="C982" s="2"/>
      <c r="D982" s="2"/>
      <c r="E982" s="2"/>
      <c r="F982" s="9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>
      <c r="A983" s="2"/>
      <c r="B983" s="2"/>
      <c r="C983" s="2"/>
      <c r="D983" s="2"/>
      <c r="E983" s="2"/>
      <c r="F983" s="9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>
      <c r="A984" s="2"/>
      <c r="B984" s="2"/>
      <c r="C984" s="2"/>
      <c r="D984" s="2"/>
      <c r="E984" s="2"/>
      <c r="F984" s="9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>
      <c r="A985" s="2"/>
      <c r="B985" s="2"/>
      <c r="C985" s="2"/>
      <c r="D985" s="2"/>
      <c r="E985" s="2"/>
      <c r="F985" s="9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>
      <c r="A986" s="2"/>
      <c r="B986" s="2"/>
      <c r="C986" s="2"/>
      <c r="D986" s="2"/>
      <c r="E986" s="2"/>
      <c r="F986" s="9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>
      <c r="A987" s="2"/>
      <c r="B987" s="2"/>
      <c r="C987" s="2"/>
      <c r="D987" s="2"/>
      <c r="E987" s="2"/>
      <c r="F987" s="9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>
      <c r="A988" s="2"/>
      <c r="B988" s="2"/>
      <c r="C988" s="2"/>
      <c r="D988" s="2"/>
      <c r="E988" s="2"/>
      <c r="F988" s="9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>
      <c r="A989" s="2"/>
      <c r="B989" s="2"/>
      <c r="C989" s="2"/>
      <c r="D989" s="2"/>
      <c r="E989" s="2"/>
      <c r="F989" s="9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>
      <c r="A990" s="2"/>
      <c r="B990" s="2"/>
      <c r="C990" s="2"/>
      <c r="D990" s="2"/>
      <c r="E990" s="2"/>
      <c r="F990" s="9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>
      <c r="A991" s="2"/>
      <c r="B991" s="2"/>
      <c r="C991" s="2"/>
      <c r="D991" s="2"/>
      <c r="E991" s="2"/>
      <c r="F991" s="9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>
      <c r="A992" s="2"/>
      <c r="B992" s="2"/>
      <c r="C992" s="2"/>
      <c r="D992" s="2"/>
      <c r="E992" s="2"/>
      <c r="F992" s="9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>
      <c r="A993" s="2"/>
      <c r="B993" s="2"/>
      <c r="C993" s="2"/>
      <c r="D993" s="2"/>
      <c r="E993" s="2"/>
      <c r="F993" s="9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>
      <c r="A994" s="2"/>
      <c r="B994" s="2"/>
      <c r="C994" s="2"/>
      <c r="D994" s="2"/>
      <c r="E994" s="2"/>
      <c r="F994" s="90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>
      <c r="A995" s="2"/>
      <c r="B995" s="2"/>
      <c r="C995" s="2"/>
      <c r="D995" s="2"/>
      <c r="E995" s="2"/>
      <c r="F995" s="90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>
      <c r="A996" s="2"/>
      <c r="B996" s="2"/>
      <c r="C996" s="2"/>
      <c r="D996" s="2"/>
      <c r="E996" s="2"/>
      <c r="F996" s="90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>
      <c r="A997" s="2"/>
      <c r="B997" s="2"/>
      <c r="C997" s="2"/>
      <c r="D997" s="2"/>
      <c r="E997" s="2"/>
      <c r="F997" s="90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>
      <c r="A998" s="2"/>
      <c r="B998" s="2"/>
      <c r="C998" s="2"/>
      <c r="D998" s="2"/>
      <c r="E998" s="2"/>
      <c r="F998" s="90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>
      <c r="A999" s="2"/>
      <c r="B999" s="2"/>
      <c r="C999" s="2"/>
      <c r="D999" s="2"/>
      <c r="E999" s="2"/>
      <c r="F999" s="90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>
      <c r="A1000" s="2"/>
      <c r="B1000" s="2"/>
      <c r="C1000" s="2"/>
      <c r="D1000" s="2"/>
      <c r="E1000" s="2"/>
      <c r="F1000" s="90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A1:C1"/>
    <mergeCell ref="G2:G3"/>
    <mergeCell ref="H2:H3"/>
    <mergeCell ref="I2:J2"/>
    <mergeCell ref="K2:L2"/>
    <mergeCell ref="M2:N2"/>
    <mergeCell ref="O2:P2"/>
    <mergeCell ref="AE2:AM2"/>
    <mergeCell ref="AN2:AN3"/>
    <mergeCell ref="AO2:AO3"/>
    <mergeCell ref="AP2:AP3"/>
    <mergeCell ref="AQ2:AQ3"/>
    <mergeCell ref="Q2:R2"/>
    <mergeCell ref="S2:T2"/>
    <mergeCell ref="U2:V2"/>
    <mergeCell ref="W2:X2"/>
    <mergeCell ref="Y2:Z2"/>
    <mergeCell ref="AA2:AB2"/>
    <mergeCell ref="AC2:AD2"/>
  </mergeCells>
  <dataValidations>
    <dataValidation type="list" allowBlank="1" showErrorMessage="1" sqref="J3 L3 N3 P3 R3 T3 V3 X3 Z3 AB3 AD3">
      <formula1>"Exam (10),Evaluation (5)"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</cols>
  <sheetData>
    <row r="1">
      <c r="A1" s="93">
        <v>17.0</v>
      </c>
      <c r="B1" s="94" t="s">
        <v>104</v>
      </c>
      <c r="C1" s="95" t="s">
        <v>105</v>
      </c>
      <c r="D1" s="43">
        <v>10.0</v>
      </c>
      <c r="E1" s="96">
        <f t="shared" ref="E1:E38" si="1">D1/10*5</f>
        <v>5</v>
      </c>
      <c r="F1" s="97">
        <v>10.0</v>
      </c>
      <c r="G1" s="98">
        <f t="shared" ref="G1:G38" si="2">F1/10*5</f>
        <v>5</v>
      </c>
      <c r="H1" s="43">
        <v>6.0</v>
      </c>
      <c r="I1" s="98">
        <f t="shared" ref="I1:I38" si="3">H1/10*5</f>
        <v>3</v>
      </c>
      <c r="J1" s="43">
        <v>6.5</v>
      </c>
      <c r="K1" s="99">
        <f t="shared" ref="K1:K38" si="4">J1/10*5</f>
        <v>3.25</v>
      </c>
    </row>
    <row r="2">
      <c r="A2" s="100">
        <v>18.0</v>
      </c>
      <c r="B2" s="101" t="s">
        <v>108</v>
      </c>
      <c r="C2" s="102" t="s">
        <v>109</v>
      </c>
      <c r="D2" s="38">
        <v>9.0</v>
      </c>
      <c r="E2" s="103">
        <f t="shared" si="1"/>
        <v>4.5</v>
      </c>
      <c r="F2" s="104">
        <v>6.0</v>
      </c>
      <c r="G2" s="105">
        <f t="shared" si="2"/>
        <v>3</v>
      </c>
      <c r="H2" s="38">
        <v>3.0</v>
      </c>
      <c r="I2" s="106">
        <f t="shared" si="3"/>
        <v>1.5</v>
      </c>
      <c r="J2" s="37">
        <v>4.5</v>
      </c>
      <c r="K2" s="99">
        <f t="shared" si="4"/>
        <v>2.25</v>
      </c>
    </row>
    <row r="3">
      <c r="A3" s="107">
        <v>20.0</v>
      </c>
      <c r="B3" s="94" t="s">
        <v>115</v>
      </c>
      <c r="C3" s="108" t="s">
        <v>116</v>
      </c>
      <c r="D3" s="38">
        <v>10.0</v>
      </c>
      <c r="E3" s="103">
        <f t="shared" si="1"/>
        <v>5</v>
      </c>
      <c r="F3" s="104">
        <v>4.0</v>
      </c>
      <c r="G3" s="105">
        <f t="shared" si="2"/>
        <v>2</v>
      </c>
      <c r="H3" s="38">
        <v>8.5</v>
      </c>
      <c r="I3" s="106">
        <f t="shared" si="3"/>
        <v>4.25</v>
      </c>
      <c r="J3" s="37">
        <v>7.75</v>
      </c>
      <c r="K3" s="99">
        <f t="shared" si="4"/>
        <v>3.875</v>
      </c>
    </row>
    <row r="4">
      <c r="A4" s="107">
        <v>21.0</v>
      </c>
      <c r="B4" s="94" t="s">
        <v>118</v>
      </c>
      <c r="C4" s="108" t="s">
        <v>119</v>
      </c>
      <c r="D4" s="38">
        <v>10.0</v>
      </c>
      <c r="E4" s="103">
        <f t="shared" si="1"/>
        <v>5</v>
      </c>
      <c r="F4" s="104">
        <v>9.0</v>
      </c>
      <c r="G4" s="105">
        <f t="shared" si="2"/>
        <v>4.5</v>
      </c>
      <c r="H4" s="38">
        <v>6.0</v>
      </c>
      <c r="I4" s="106">
        <f t="shared" si="3"/>
        <v>3</v>
      </c>
      <c r="J4" s="37">
        <v>10.0</v>
      </c>
      <c r="K4" s="99">
        <f t="shared" si="4"/>
        <v>5</v>
      </c>
    </row>
    <row r="5">
      <c r="A5" s="107">
        <v>22.0</v>
      </c>
      <c r="B5" s="94" t="s">
        <v>121</v>
      </c>
      <c r="C5" s="108" t="s">
        <v>122</v>
      </c>
      <c r="D5" s="38">
        <v>9.75</v>
      </c>
      <c r="E5" s="103">
        <f t="shared" si="1"/>
        <v>4.875</v>
      </c>
      <c r="F5" s="104">
        <v>4.0</v>
      </c>
      <c r="G5" s="105">
        <f t="shared" si="2"/>
        <v>2</v>
      </c>
      <c r="H5" s="38">
        <v>8.0</v>
      </c>
      <c r="I5" s="106">
        <f t="shared" si="3"/>
        <v>4</v>
      </c>
      <c r="J5" s="37">
        <v>7.5</v>
      </c>
      <c r="K5" s="99">
        <f t="shared" si="4"/>
        <v>3.75</v>
      </c>
    </row>
    <row r="6">
      <c r="A6" s="107">
        <v>23.0</v>
      </c>
      <c r="B6" s="94" t="s">
        <v>124</v>
      </c>
      <c r="C6" s="108" t="s">
        <v>125</v>
      </c>
      <c r="D6" s="38">
        <v>9.0</v>
      </c>
      <c r="E6" s="103">
        <f t="shared" si="1"/>
        <v>4.5</v>
      </c>
      <c r="F6" s="104">
        <v>4.5</v>
      </c>
      <c r="G6" s="105">
        <f t="shared" si="2"/>
        <v>2.25</v>
      </c>
      <c r="H6" s="38">
        <v>6.0</v>
      </c>
      <c r="I6" s="106">
        <f t="shared" si="3"/>
        <v>3</v>
      </c>
      <c r="J6" s="37">
        <v>8.0</v>
      </c>
      <c r="K6" s="99">
        <f t="shared" si="4"/>
        <v>4</v>
      </c>
    </row>
    <row r="7">
      <c r="A7" s="107">
        <v>24.0</v>
      </c>
      <c r="B7" s="94" t="s">
        <v>127</v>
      </c>
      <c r="C7" s="108" t="s">
        <v>128</v>
      </c>
      <c r="D7" s="38">
        <v>7.5</v>
      </c>
      <c r="E7" s="103">
        <f t="shared" si="1"/>
        <v>3.75</v>
      </c>
      <c r="F7" s="104">
        <v>4.0</v>
      </c>
      <c r="G7" s="105">
        <f t="shared" si="2"/>
        <v>2</v>
      </c>
      <c r="H7" s="39"/>
      <c r="I7" s="106">
        <f t="shared" si="3"/>
        <v>0</v>
      </c>
      <c r="J7" s="40"/>
      <c r="K7" s="99">
        <f t="shared" si="4"/>
        <v>0</v>
      </c>
    </row>
    <row r="8">
      <c r="A8" s="107">
        <v>25.0</v>
      </c>
      <c r="B8" s="94" t="s">
        <v>130</v>
      </c>
      <c r="C8" s="108" t="s">
        <v>131</v>
      </c>
      <c r="D8" s="38">
        <v>7.0</v>
      </c>
      <c r="E8" s="103">
        <f t="shared" si="1"/>
        <v>3.5</v>
      </c>
      <c r="F8" s="104">
        <v>8.5</v>
      </c>
      <c r="G8" s="105">
        <f t="shared" si="2"/>
        <v>4.25</v>
      </c>
      <c r="H8" s="38">
        <v>5.0</v>
      </c>
      <c r="I8" s="106">
        <f t="shared" si="3"/>
        <v>2.5</v>
      </c>
      <c r="J8" s="37">
        <v>8.0</v>
      </c>
      <c r="K8" s="99">
        <f t="shared" si="4"/>
        <v>4</v>
      </c>
    </row>
    <row r="9">
      <c r="A9" s="107">
        <v>26.0</v>
      </c>
      <c r="B9" s="94" t="s">
        <v>133</v>
      </c>
      <c r="C9" s="108" t="s">
        <v>134</v>
      </c>
      <c r="D9" s="39"/>
      <c r="E9" s="103">
        <f t="shared" si="1"/>
        <v>0</v>
      </c>
      <c r="F9" s="104">
        <v>9.0</v>
      </c>
      <c r="G9" s="105">
        <f t="shared" si="2"/>
        <v>4.5</v>
      </c>
      <c r="H9" s="38">
        <v>2.0</v>
      </c>
      <c r="I9" s="106">
        <f t="shared" si="3"/>
        <v>1</v>
      </c>
      <c r="J9" s="37">
        <v>5.5</v>
      </c>
      <c r="K9" s="99">
        <f t="shared" si="4"/>
        <v>2.75</v>
      </c>
    </row>
    <row r="10">
      <c r="A10" s="107">
        <v>27.0</v>
      </c>
      <c r="B10" s="94" t="s">
        <v>136</v>
      </c>
      <c r="C10" s="108" t="s">
        <v>137</v>
      </c>
      <c r="D10" s="38">
        <v>10.0</v>
      </c>
      <c r="E10" s="103">
        <f t="shared" si="1"/>
        <v>5</v>
      </c>
      <c r="F10" s="104">
        <v>9.5</v>
      </c>
      <c r="G10" s="105">
        <f t="shared" si="2"/>
        <v>4.75</v>
      </c>
      <c r="H10" s="38">
        <v>8.5</v>
      </c>
      <c r="I10" s="106">
        <f t="shared" si="3"/>
        <v>4.25</v>
      </c>
      <c r="J10" s="37">
        <v>8.25</v>
      </c>
      <c r="K10" s="99">
        <f t="shared" si="4"/>
        <v>4.125</v>
      </c>
    </row>
    <row r="11">
      <c r="A11" s="107">
        <v>28.0</v>
      </c>
      <c r="B11" s="94" t="s">
        <v>139</v>
      </c>
      <c r="C11" s="108" t="s">
        <v>140</v>
      </c>
      <c r="D11" s="39"/>
      <c r="E11" s="103">
        <f t="shared" si="1"/>
        <v>0</v>
      </c>
      <c r="F11" s="104">
        <v>4.0</v>
      </c>
      <c r="G11" s="105">
        <f t="shared" si="2"/>
        <v>2</v>
      </c>
      <c r="H11" s="38">
        <v>4.5</v>
      </c>
      <c r="I11" s="106">
        <f t="shared" si="3"/>
        <v>2.25</v>
      </c>
      <c r="J11" s="37">
        <v>4.0</v>
      </c>
      <c r="K11" s="99">
        <f t="shared" si="4"/>
        <v>2</v>
      </c>
    </row>
    <row r="12">
      <c r="A12" s="107">
        <v>29.0</v>
      </c>
      <c r="B12" s="94" t="s">
        <v>142</v>
      </c>
      <c r="C12" s="108" t="s">
        <v>143</v>
      </c>
      <c r="D12" s="38">
        <v>10.0</v>
      </c>
      <c r="E12" s="103">
        <f t="shared" si="1"/>
        <v>5</v>
      </c>
      <c r="F12" s="104">
        <v>10.0</v>
      </c>
      <c r="G12" s="105">
        <f t="shared" si="2"/>
        <v>5</v>
      </c>
      <c r="H12" s="38">
        <v>10.0</v>
      </c>
      <c r="I12" s="106">
        <f t="shared" si="3"/>
        <v>5</v>
      </c>
      <c r="J12" s="37">
        <v>8.25</v>
      </c>
      <c r="K12" s="99">
        <f t="shared" si="4"/>
        <v>4.125</v>
      </c>
    </row>
    <row r="13">
      <c r="A13" s="107">
        <v>30.0</v>
      </c>
      <c r="B13" s="94" t="s">
        <v>145</v>
      </c>
      <c r="C13" s="108" t="s">
        <v>146</v>
      </c>
      <c r="D13" s="38">
        <v>9.75</v>
      </c>
      <c r="E13" s="103">
        <f t="shared" si="1"/>
        <v>4.875</v>
      </c>
      <c r="F13" s="104">
        <v>8.5</v>
      </c>
      <c r="G13" s="105">
        <f t="shared" si="2"/>
        <v>4.25</v>
      </c>
      <c r="H13" s="38">
        <v>6.5</v>
      </c>
      <c r="I13" s="106">
        <f t="shared" si="3"/>
        <v>3.25</v>
      </c>
      <c r="J13" s="37">
        <v>9.5</v>
      </c>
      <c r="K13" s="99">
        <f t="shared" si="4"/>
        <v>4.75</v>
      </c>
    </row>
    <row r="14">
      <c r="A14" s="107">
        <v>31.0</v>
      </c>
      <c r="B14" s="94" t="s">
        <v>149</v>
      </c>
      <c r="C14" s="108" t="s">
        <v>150</v>
      </c>
      <c r="D14" s="38">
        <v>9.0</v>
      </c>
      <c r="E14" s="103">
        <f t="shared" si="1"/>
        <v>4.5</v>
      </c>
      <c r="F14" s="104">
        <v>7.5</v>
      </c>
      <c r="G14" s="105">
        <f t="shared" si="2"/>
        <v>3.75</v>
      </c>
      <c r="H14" s="38">
        <v>5.5</v>
      </c>
      <c r="I14" s="106">
        <f t="shared" si="3"/>
        <v>2.75</v>
      </c>
      <c r="J14" s="37">
        <v>6.5</v>
      </c>
      <c r="K14" s="99">
        <f t="shared" si="4"/>
        <v>3.25</v>
      </c>
    </row>
    <row r="15">
      <c r="A15" s="107">
        <v>32.0</v>
      </c>
      <c r="B15" s="94" t="s">
        <v>152</v>
      </c>
      <c r="C15" s="109" t="s">
        <v>153</v>
      </c>
      <c r="D15" s="38">
        <v>10.0</v>
      </c>
      <c r="E15" s="103">
        <f t="shared" si="1"/>
        <v>5</v>
      </c>
      <c r="F15" s="104">
        <v>10.0</v>
      </c>
      <c r="G15" s="105">
        <f t="shared" si="2"/>
        <v>5</v>
      </c>
      <c r="H15" s="38">
        <v>10.0</v>
      </c>
      <c r="I15" s="106">
        <f t="shared" si="3"/>
        <v>5</v>
      </c>
      <c r="J15" s="37">
        <v>7.0</v>
      </c>
      <c r="K15" s="99">
        <f t="shared" si="4"/>
        <v>3.5</v>
      </c>
    </row>
    <row r="16">
      <c r="A16" s="107">
        <v>33.0</v>
      </c>
      <c r="B16" s="94" t="s">
        <v>155</v>
      </c>
      <c r="C16" s="108" t="s">
        <v>156</v>
      </c>
      <c r="D16" s="38">
        <v>8.5</v>
      </c>
      <c r="E16" s="103">
        <f t="shared" si="1"/>
        <v>4.25</v>
      </c>
      <c r="F16" s="104">
        <v>4.5</v>
      </c>
      <c r="G16" s="105">
        <f t="shared" si="2"/>
        <v>2.25</v>
      </c>
      <c r="H16" s="38">
        <v>5.5</v>
      </c>
      <c r="I16" s="106">
        <f t="shared" si="3"/>
        <v>2.75</v>
      </c>
      <c r="J16" s="37">
        <v>6.0</v>
      </c>
      <c r="K16" s="99">
        <f t="shared" si="4"/>
        <v>3</v>
      </c>
    </row>
    <row r="17">
      <c r="A17" s="107">
        <v>34.0</v>
      </c>
      <c r="B17" s="94" t="s">
        <v>158</v>
      </c>
      <c r="C17" s="109" t="s">
        <v>159</v>
      </c>
      <c r="D17" s="38">
        <v>9.75</v>
      </c>
      <c r="E17" s="103">
        <f t="shared" si="1"/>
        <v>4.875</v>
      </c>
      <c r="F17" s="38">
        <v>9.25</v>
      </c>
      <c r="G17" s="105">
        <f t="shared" si="2"/>
        <v>4.625</v>
      </c>
      <c r="H17" s="38">
        <v>9.0</v>
      </c>
      <c r="I17" s="106">
        <f t="shared" si="3"/>
        <v>4.5</v>
      </c>
      <c r="J17" s="37">
        <v>10.0</v>
      </c>
      <c r="K17" s="99">
        <f t="shared" si="4"/>
        <v>5</v>
      </c>
    </row>
    <row r="18">
      <c r="A18" s="107">
        <v>35.0</v>
      </c>
      <c r="B18" s="94" t="s">
        <v>161</v>
      </c>
      <c r="C18" s="108" t="s">
        <v>162</v>
      </c>
      <c r="D18" s="38">
        <v>10.0</v>
      </c>
      <c r="E18" s="103">
        <f t="shared" si="1"/>
        <v>5</v>
      </c>
      <c r="F18" s="104">
        <v>8.0</v>
      </c>
      <c r="G18" s="105">
        <f t="shared" si="2"/>
        <v>4</v>
      </c>
      <c r="H18" s="39"/>
      <c r="I18" s="106">
        <f t="shared" si="3"/>
        <v>0</v>
      </c>
      <c r="J18" s="37">
        <v>9.0</v>
      </c>
      <c r="K18" s="99">
        <f t="shared" si="4"/>
        <v>4.5</v>
      </c>
    </row>
    <row r="19">
      <c r="A19" s="107">
        <v>36.0</v>
      </c>
      <c r="B19" s="94" t="s">
        <v>164</v>
      </c>
      <c r="C19" s="108" t="s">
        <v>165</v>
      </c>
      <c r="D19" s="38">
        <v>10.0</v>
      </c>
      <c r="E19" s="103">
        <f t="shared" si="1"/>
        <v>5</v>
      </c>
      <c r="F19" s="104">
        <v>8.5</v>
      </c>
      <c r="G19" s="105">
        <f t="shared" si="2"/>
        <v>4.25</v>
      </c>
      <c r="H19" s="38">
        <v>6.0</v>
      </c>
      <c r="I19" s="106">
        <f t="shared" si="3"/>
        <v>3</v>
      </c>
      <c r="J19" s="37">
        <v>7.0</v>
      </c>
      <c r="K19" s="99">
        <f t="shared" si="4"/>
        <v>3.5</v>
      </c>
    </row>
    <row r="20">
      <c r="A20" s="107">
        <v>37.0</v>
      </c>
      <c r="B20" s="94" t="s">
        <v>167</v>
      </c>
      <c r="C20" s="108" t="s">
        <v>168</v>
      </c>
      <c r="D20" s="38">
        <v>7.5</v>
      </c>
      <c r="E20" s="103">
        <f t="shared" si="1"/>
        <v>3.75</v>
      </c>
      <c r="F20" s="104">
        <v>3.5</v>
      </c>
      <c r="G20" s="105">
        <f t="shared" si="2"/>
        <v>1.75</v>
      </c>
      <c r="H20" s="38">
        <v>2.0</v>
      </c>
      <c r="I20" s="106">
        <f t="shared" si="3"/>
        <v>1</v>
      </c>
      <c r="J20" s="37">
        <v>6.0</v>
      </c>
      <c r="K20" s="99">
        <f t="shared" si="4"/>
        <v>3</v>
      </c>
    </row>
    <row r="21">
      <c r="A21" s="107">
        <v>38.0</v>
      </c>
      <c r="B21" s="94" t="s">
        <v>170</v>
      </c>
      <c r="C21" s="108" t="s">
        <v>171</v>
      </c>
      <c r="D21" s="38">
        <v>8.5</v>
      </c>
      <c r="E21" s="103">
        <f t="shared" si="1"/>
        <v>4.25</v>
      </c>
      <c r="F21" s="104">
        <v>4.0</v>
      </c>
      <c r="G21" s="105">
        <f t="shared" si="2"/>
        <v>2</v>
      </c>
      <c r="H21" s="38">
        <v>5.0</v>
      </c>
      <c r="I21" s="106">
        <f t="shared" si="3"/>
        <v>2.5</v>
      </c>
      <c r="J21" s="37">
        <v>6.5</v>
      </c>
      <c r="K21" s="99">
        <f t="shared" si="4"/>
        <v>3.25</v>
      </c>
    </row>
    <row r="22">
      <c r="A22" s="107">
        <v>11.0</v>
      </c>
      <c r="B22" s="94" t="s">
        <v>78</v>
      </c>
      <c r="C22" s="108" t="s">
        <v>79</v>
      </c>
      <c r="D22" s="38">
        <v>10.0</v>
      </c>
      <c r="E22" s="103">
        <f t="shared" si="1"/>
        <v>5</v>
      </c>
      <c r="F22" s="104">
        <v>5.0</v>
      </c>
      <c r="G22" s="105">
        <f t="shared" si="2"/>
        <v>2.5</v>
      </c>
      <c r="H22" s="38">
        <v>8.5</v>
      </c>
      <c r="I22" s="106">
        <f t="shared" si="3"/>
        <v>4.25</v>
      </c>
      <c r="J22" s="37">
        <v>7.0</v>
      </c>
      <c r="K22" s="99">
        <f t="shared" si="4"/>
        <v>3.5</v>
      </c>
    </row>
    <row r="23">
      <c r="A23" s="107">
        <v>1.0</v>
      </c>
      <c r="B23" s="94" t="s">
        <v>34</v>
      </c>
      <c r="C23" s="109" t="s">
        <v>35</v>
      </c>
      <c r="D23" s="38">
        <v>9.75</v>
      </c>
      <c r="E23" s="103">
        <f t="shared" si="1"/>
        <v>4.875</v>
      </c>
      <c r="F23" s="38">
        <v>10.0</v>
      </c>
      <c r="G23" s="105">
        <f t="shared" si="2"/>
        <v>5</v>
      </c>
      <c r="H23" s="38">
        <v>6.5</v>
      </c>
      <c r="I23" s="106">
        <f t="shared" si="3"/>
        <v>3.25</v>
      </c>
      <c r="J23" s="37">
        <v>10.0</v>
      </c>
      <c r="K23" s="99">
        <f t="shared" si="4"/>
        <v>5</v>
      </c>
    </row>
    <row r="24">
      <c r="A24" s="107">
        <v>12.0</v>
      </c>
      <c r="B24" s="94" t="s">
        <v>82</v>
      </c>
      <c r="C24" s="108" t="s">
        <v>83</v>
      </c>
      <c r="D24" s="38">
        <v>10.0</v>
      </c>
      <c r="E24" s="103">
        <f t="shared" si="1"/>
        <v>5</v>
      </c>
      <c r="F24" s="104">
        <v>9.0</v>
      </c>
      <c r="G24" s="105">
        <f t="shared" si="2"/>
        <v>4.5</v>
      </c>
      <c r="H24" s="38">
        <v>8.5</v>
      </c>
      <c r="I24" s="106">
        <f t="shared" si="3"/>
        <v>4.25</v>
      </c>
      <c r="J24" s="37">
        <v>8.25</v>
      </c>
      <c r="K24" s="99">
        <f t="shared" si="4"/>
        <v>4.125</v>
      </c>
    </row>
    <row r="25">
      <c r="A25" s="107">
        <v>2.0</v>
      </c>
      <c r="B25" s="94" t="s">
        <v>39</v>
      </c>
      <c r="C25" s="108" t="s">
        <v>40</v>
      </c>
      <c r="D25" s="38">
        <v>8.75</v>
      </c>
      <c r="E25" s="103">
        <f t="shared" si="1"/>
        <v>4.375</v>
      </c>
      <c r="F25" s="104">
        <v>5.0</v>
      </c>
      <c r="G25" s="105">
        <f t="shared" si="2"/>
        <v>2.5</v>
      </c>
      <c r="H25" s="38">
        <v>3.5</v>
      </c>
      <c r="I25" s="106">
        <f t="shared" si="3"/>
        <v>1.75</v>
      </c>
      <c r="J25" s="37">
        <v>4.0</v>
      </c>
      <c r="K25" s="99">
        <f t="shared" si="4"/>
        <v>2</v>
      </c>
    </row>
    <row r="26">
      <c r="A26" s="107">
        <v>3.0</v>
      </c>
      <c r="B26" s="94" t="s">
        <v>44</v>
      </c>
      <c r="C26" s="108" t="s">
        <v>45</v>
      </c>
      <c r="D26" s="38">
        <v>9.0</v>
      </c>
      <c r="E26" s="103">
        <f t="shared" si="1"/>
        <v>4.5</v>
      </c>
      <c r="F26" s="104">
        <v>4.0</v>
      </c>
      <c r="G26" s="105">
        <f t="shared" si="2"/>
        <v>2</v>
      </c>
      <c r="H26" s="38">
        <v>4.0</v>
      </c>
      <c r="I26" s="106">
        <f t="shared" si="3"/>
        <v>2</v>
      </c>
      <c r="J26" s="37">
        <v>6.0</v>
      </c>
      <c r="K26" s="99">
        <f t="shared" si="4"/>
        <v>3</v>
      </c>
    </row>
    <row r="27">
      <c r="A27" s="107">
        <v>13.0</v>
      </c>
      <c r="B27" s="94" t="s">
        <v>87</v>
      </c>
      <c r="C27" s="108" t="s">
        <v>88</v>
      </c>
      <c r="D27" s="38">
        <v>7.5</v>
      </c>
      <c r="E27" s="103">
        <f t="shared" si="1"/>
        <v>3.75</v>
      </c>
      <c r="F27" s="104">
        <v>3.5</v>
      </c>
      <c r="G27" s="105">
        <f t="shared" si="2"/>
        <v>1.75</v>
      </c>
      <c r="H27" s="38">
        <v>2.0</v>
      </c>
      <c r="I27" s="106">
        <f t="shared" si="3"/>
        <v>1</v>
      </c>
      <c r="J27" s="37">
        <v>5.75</v>
      </c>
      <c r="K27" s="99">
        <f t="shared" si="4"/>
        <v>2.875</v>
      </c>
    </row>
    <row r="28">
      <c r="A28" s="107">
        <v>4.0</v>
      </c>
      <c r="B28" s="94" t="s">
        <v>48</v>
      </c>
      <c r="C28" s="108" t="s">
        <v>49</v>
      </c>
      <c r="D28" s="38">
        <v>8.0</v>
      </c>
      <c r="E28" s="103">
        <f t="shared" si="1"/>
        <v>4</v>
      </c>
      <c r="F28" s="104">
        <v>4.0</v>
      </c>
      <c r="G28" s="105">
        <f t="shared" si="2"/>
        <v>2</v>
      </c>
      <c r="H28" s="38">
        <v>2.0</v>
      </c>
      <c r="I28" s="106">
        <f t="shared" si="3"/>
        <v>1</v>
      </c>
      <c r="J28" s="37">
        <v>6.0</v>
      </c>
      <c r="K28" s="99">
        <f t="shared" si="4"/>
        <v>3</v>
      </c>
    </row>
    <row r="29">
      <c r="A29" s="107">
        <v>5.0</v>
      </c>
      <c r="B29" s="94" t="s">
        <v>52</v>
      </c>
      <c r="C29" s="108" t="s">
        <v>53</v>
      </c>
      <c r="D29" s="38">
        <v>10.0</v>
      </c>
      <c r="E29" s="103">
        <f t="shared" si="1"/>
        <v>5</v>
      </c>
      <c r="F29" s="38">
        <v>6.0</v>
      </c>
      <c r="G29" s="105">
        <f t="shared" si="2"/>
        <v>3</v>
      </c>
      <c r="H29" s="38">
        <v>8.0</v>
      </c>
      <c r="I29" s="106">
        <f t="shared" si="3"/>
        <v>4</v>
      </c>
      <c r="J29" s="37">
        <v>7.0</v>
      </c>
      <c r="K29" s="99">
        <f t="shared" si="4"/>
        <v>3.5</v>
      </c>
    </row>
    <row r="30">
      <c r="A30" s="107">
        <v>10.0</v>
      </c>
      <c r="B30" s="94" t="s">
        <v>74</v>
      </c>
      <c r="C30" s="109" t="s">
        <v>75</v>
      </c>
      <c r="D30" s="38">
        <v>10.0</v>
      </c>
      <c r="E30" s="103">
        <f t="shared" si="1"/>
        <v>5</v>
      </c>
      <c r="F30" s="38">
        <v>9.0</v>
      </c>
      <c r="G30" s="105">
        <f t="shared" si="2"/>
        <v>4.5</v>
      </c>
      <c r="H30" s="38">
        <v>9.5</v>
      </c>
      <c r="I30" s="106">
        <f t="shared" si="3"/>
        <v>4.75</v>
      </c>
      <c r="J30" s="37">
        <v>10.0</v>
      </c>
      <c r="K30" s="99">
        <f t="shared" si="4"/>
        <v>5</v>
      </c>
    </row>
    <row r="31">
      <c r="A31" s="107">
        <v>9.0</v>
      </c>
      <c r="B31" s="94" t="s">
        <v>70</v>
      </c>
      <c r="C31" s="108" t="s">
        <v>71</v>
      </c>
      <c r="D31" s="38">
        <v>10.0</v>
      </c>
      <c r="E31" s="103">
        <f t="shared" si="1"/>
        <v>5</v>
      </c>
      <c r="F31" s="104">
        <v>9.5</v>
      </c>
      <c r="G31" s="105">
        <f t="shared" si="2"/>
        <v>4.75</v>
      </c>
      <c r="H31" s="38">
        <v>9.0</v>
      </c>
      <c r="I31" s="106">
        <f t="shared" si="3"/>
        <v>4.5</v>
      </c>
      <c r="J31" s="37">
        <v>8.0</v>
      </c>
      <c r="K31" s="99">
        <f t="shared" si="4"/>
        <v>4</v>
      </c>
    </row>
    <row r="32">
      <c r="A32" s="107">
        <v>15.0</v>
      </c>
      <c r="B32" s="94" t="s">
        <v>95</v>
      </c>
      <c r="C32" s="108" t="s">
        <v>96</v>
      </c>
      <c r="D32" s="38">
        <v>8.0</v>
      </c>
      <c r="E32" s="103">
        <f t="shared" si="1"/>
        <v>4</v>
      </c>
      <c r="F32" s="104">
        <v>6.5</v>
      </c>
      <c r="G32" s="105">
        <f t="shared" si="2"/>
        <v>3.25</v>
      </c>
      <c r="H32" s="38">
        <v>2.5</v>
      </c>
      <c r="I32" s="106">
        <f t="shared" si="3"/>
        <v>1.25</v>
      </c>
      <c r="J32" s="37">
        <v>8.0</v>
      </c>
      <c r="K32" s="99">
        <f t="shared" si="4"/>
        <v>4</v>
      </c>
    </row>
    <row r="33">
      <c r="A33" s="107">
        <v>16.0</v>
      </c>
      <c r="B33" s="94" t="s">
        <v>100</v>
      </c>
      <c r="C33" s="108" t="s">
        <v>101</v>
      </c>
      <c r="D33" s="38">
        <v>10.0</v>
      </c>
      <c r="E33" s="103">
        <f t="shared" si="1"/>
        <v>5</v>
      </c>
      <c r="F33" s="104">
        <v>4.0</v>
      </c>
      <c r="G33" s="105">
        <f t="shared" si="2"/>
        <v>2</v>
      </c>
      <c r="H33" s="38">
        <v>6.5</v>
      </c>
      <c r="I33" s="106">
        <f t="shared" si="3"/>
        <v>3.25</v>
      </c>
      <c r="J33" s="37">
        <v>7.5</v>
      </c>
      <c r="K33" s="99">
        <f t="shared" si="4"/>
        <v>3.75</v>
      </c>
    </row>
    <row r="34">
      <c r="A34" s="107">
        <v>7.0</v>
      </c>
      <c r="B34" s="94" t="s">
        <v>61</v>
      </c>
      <c r="C34" s="108" t="s">
        <v>62</v>
      </c>
      <c r="D34" s="38">
        <v>8.75</v>
      </c>
      <c r="E34" s="103">
        <f t="shared" si="1"/>
        <v>4.375</v>
      </c>
      <c r="F34" s="104">
        <v>5.0</v>
      </c>
      <c r="G34" s="105">
        <f t="shared" si="2"/>
        <v>2.5</v>
      </c>
      <c r="H34" s="38">
        <v>3.5</v>
      </c>
      <c r="I34" s="106">
        <f t="shared" si="3"/>
        <v>1.75</v>
      </c>
      <c r="J34" s="37">
        <v>8.5</v>
      </c>
      <c r="K34" s="99">
        <f t="shared" si="4"/>
        <v>4.25</v>
      </c>
    </row>
    <row r="35">
      <c r="A35" s="107">
        <v>14.0</v>
      </c>
      <c r="B35" s="94" t="s">
        <v>91</v>
      </c>
      <c r="C35" s="108" t="s">
        <v>92</v>
      </c>
      <c r="D35" s="38">
        <v>6.75</v>
      </c>
      <c r="E35" s="103">
        <f t="shared" si="1"/>
        <v>3.375</v>
      </c>
      <c r="F35" s="104">
        <v>4.0</v>
      </c>
      <c r="G35" s="105">
        <f t="shared" si="2"/>
        <v>2</v>
      </c>
      <c r="H35" s="38">
        <v>4.0</v>
      </c>
      <c r="I35" s="106">
        <f t="shared" si="3"/>
        <v>2</v>
      </c>
      <c r="J35" s="37">
        <v>6.5</v>
      </c>
      <c r="K35" s="99">
        <f t="shared" si="4"/>
        <v>3.25</v>
      </c>
    </row>
    <row r="36">
      <c r="A36" s="107">
        <v>6.0</v>
      </c>
      <c r="B36" s="94" t="s">
        <v>56</v>
      </c>
      <c r="C36" s="108" t="s">
        <v>57</v>
      </c>
      <c r="D36" s="38">
        <v>7.0</v>
      </c>
      <c r="E36" s="103">
        <f t="shared" si="1"/>
        <v>3.5</v>
      </c>
      <c r="F36" s="104">
        <v>5.0</v>
      </c>
      <c r="G36" s="105">
        <f t="shared" si="2"/>
        <v>2.5</v>
      </c>
      <c r="H36" s="38">
        <v>3.75</v>
      </c>
      <c r="I36" s="106">
        <f t="shared" si="3"/>
        <v>1.875</v>
      </c>
      <c r="J36" s="37">
        <v>4.0</v>
      </c>
      <c r="K36" s="99">
        <f t="shared" si="4"/>
        <v>2</v>
      </c>
    </row>
    <row r="37">
      <c r="A37" s="107">
        <v>8.0</v>
      </c>
      <c r="B37" s="94" t="s">
        <v>66</v>
      </c>
      <c r="C37" s="108" t="s">
        <v>67</v>
      </c>
      <c r="D37" s="38">
        <v>10.0</v>
      </c>
      <c r="E37" s="103">
        <f t="shared" si="1"/>
        <v>5</v>
      </c>
      <c r="F37" s="104">
        <v>4.5</v>
      </c>
      <c r="G37" s="105">
        <f t="shared" si="2"/>
        <v>2.25</v>
      </c>
      <c r="H37" s="38">
        <v>4.0</v>
      </c>
      <c r="I37" s="106">
        <f t="shared" si="3"/>
        <v>2</v>
      </c>
      <c r="J37" s="37">
        <v>8.0</v>
      </c>
      <c r="K37" s="99">
        <f t="shared" si="4"/>
        <v>4</v>
      </c>
    </row>
    <row r="38">
      <c r="A38" s="110">
        <v>19.0</v>
      </c>
      <c r="B38" s="111" t="s">
        <v>111</v>
      </c>
      <c r="C38" s="112" t="s">
        <v>112</v>
      </c>
      <c r="D38" s="113">
        <v>10.0</v>
      </c>
      <c r="E38" s="114">
        <f t="shared" si="1"/>
        <v>5</v>
      </c>
      <c r="F38" s="115">
        <v>8.0</v>
      </c>
      <c r="G38" s="116">
        <f t="shared" si="2"/>
        <v>4</v>
      </c>
      <c r="H38" s="113">
        <v>6.5</v>
      </c>
      <c r="I38" s="117">
        <f t="shared" si="3"/>
        <v>3.25</v>
      </c>
      <c r="J38" s="118">
        <v>7.25</v>
      </c>
      <c r="K38" s="119">
        <f t="shared" si="4"/>
        <v>3.625</v>
      </c>
    </row>
    <row r="39">
      <c r="A39" s="120"/>
      <c r="B39" s="121"/>
      <c r="C39" s="122"/>
      <c r="D39" s="123"/>
      <c r="E39" s="124" t="s">
        <v>175</v>
      </c>
      <c r="F39" s="125"/>
      <c r="G39" s="124" t="s">
        <v>176</v>
      </c>
      <c r="H39" s="125"/>
      <c r="I39" s="124" t="s">
        <v>177</v>
      </c>
      <c r="J39" s="125"/>
      <c r="K39" s="124" t="s">
        <v>178</v>
      </c>
    </row>
    <row r="40">
      <c r="C40" s="126"/>
    </row>
    <row r="41">
      <c r="C41" s="126"/>
    </row>
    <row r="42">
      <c r="C42" s="126"/>
    </row>
    <row r="43">
      <c r="C43" s="126"/>
    </row>
    <row r="44">
      <c r="C44" s="126"/>
    </row>
    <row r="45">
      <c r="C45" s="126"/>
    </row>
    <row r="46">
      <c r="A46" s="127"/>
      <c r="B46" s="128"/>
      <c r="C46" s="129"/>
      <c r="D46" s="130"/>
      <c r="E46" s="130"/>
      <c r="F46" s="130"/>
      <c r="G46" s="130"/>
      <c r="H46" s="130"/>
      <c r="I46" s="131"/>
      <c r="J46" s="127"/>
      <c r="K46" s="128"/>
    </row>
    <row r="47">
      <c r="C47" s="126"/>
    </row>
    <row r="48">
      <c r="C48" s="126"/>
    </row>
    <row r="49">
      <c r="C49" s="126"/>
    </row>
    <row r="50">
      <c r="C50" s="126"/>
    </row>
    <row r="51">
      <c r="C51" s="126"/>
    </row>
    <row r="52">
      <c r="C52" s="126"/>
    </row>
    <row r="53">
      <c r="C53" s="126"/>
    </row>
    <row r="54">
      <c r="C54" s="126"/>
    </row>
    <row r="55">
      <c r="C55" s="126"/>
    </row>
    <row r="56">
      <c r="C56" s="126"/>
    </row>
    <row r="57">
      <c r="C57" s="126"/>
    </row>
    <row r="58">
      <c r="C58" s="126"/>
    </row>
    <row r="59">
      <c r="C59" s="126"/>
    </row>
    <row r="60">
      <c r="C60" s="126"/>
    </row>
    <row r="61">
      <c r="C61" s="126"/>
    </row>
    <row r="62">
      <c r="C62" s="126"/>
    </row>
    <row r="63">
      <c r="C63" s="126"/>
    </row>
    <row r="64">
      <c r="C64" s="126"/>
    </row>
    <row r="65">
      <c r="C65" s="126"/>
    </row>
    <row r="66">
      <c r="C66" s="126"/>
    </row>
    <row r="67">
      <c r="C67" s="126"/>
    </row>
    <row r="68">
      <c r="C68" s="126"/>
    </row>
    <row r="69">
      <c r="C69" s="126"/>
    </row>
    <row r="70">
      <c r="C70" s="126"/>
    </row>
    <row r="71">
      <c r="C71" s="126"/>
    </row>
    <row r="72">
      <c r="C72" s="126"/>
    </row>
    <row r="73">
      <c r="C73" s="126"/>
    </row>
    <row r="74">
      <c r="C74" s="126"/>
    </row>
    <row r="75">
      <c r="C75" s="126"/>
    </row>
    <row r="76">
      <c r="C76" s="126"/>
    </row>
    <row r="77">
      <c r="C77" s="126"/>
    </row>
    <row r="78">
      <c r="C78" s="126"/>
    </row>
    <row r="79">
      <c r="C79" s="126"/>
    </row>
    <row r="80">
      <c r="C80" s="126"/>
    </row>
    <row r="81">
      <c r="C81" s="126"/>
    </row>
    <row r="82">
      <c r="C82" s="126"/>
    </row>
    <row r="83">
      <c r="C83" s="126"/>
    </row>
    <row r="84">
      <c r="C84" s="126"/>
    </row>
    <row r="85">
      <c r="C85" s="126"/>
    </row>
    <row r="86">
      <c r="C86" s="126"/>
    </row>
    <row r="87">
      <c r="C87" s="126"/>
    </row>
    <row r="88">
      <c r="C88" s="126"/>
    </row>
    <row r="89">
      <c r="C89" s="126"/>
    </row>
    <row r="90">
      <c r="C90" s="126"/>
    </row>
    <row r="91">
      <c r="C91" s="126"/>
    </row>
    <row r="92">
      <c r="C92" s="126"/>
    </row>
    <row r="93">
      <c r="C93" s="126"/>
    </row>
    <row r="94">
      <c r="C94" s="126"/>
    </row>
    <row r="95">
      <c r="C95" s="126"/>
    </row>
    <row r="96">
      <c r="C96" s="126"/>
    </row>
    <row r="97">
      <c r="C97" s="126"/>
    </row>
    <row r="98">
      <c r="C98" s="126"/>
    </row>
    <row r="99">
      <c r="C99" s="126"/>
    </row>
    <row r="100">
      <c r="C100" s="126"/>
    </row>
    <row r="101">
      <c r="C101" s="126"/>
    </row>
    <row r="102">
      <c r="C102" s="126"/>
    </row>
    <row r="103">
      <c r="C103" s="126"/>
    </row>
    <row r="104">
      <c r="C104" s="126"/>
    </row>
    <row r="105">
      <c r="C105" s="126"/>
    </row>
    <row r="106">
      <c r="C106" s="126"/>
    </row>
    <row r="107">
      <c r="C107" s="126"/>
    </row>
    <row r="108">
      <c r="C108" s="126"/>
    </row>
    <row r="109">
      <c r="C109" s="126"/>
    </row>
    <row r="110">
      <c r="C110" s="126"/>
    </row>
    <row r="111">
      <c r="C111" s="126"/>
    </row>
    <row r="112">
      <c r="C112" s="126"/>
    </row>
    <row r="113">
      <c r="C113" s="126"/>
    </row>
    <row r="114">
      <c r="C114" s="126"/>
    </row>
    <row r="115">
      <c r="C115" s="126"/>
    </row>
    <row r="116">
      <c r="C116" s="126"/>
    </row>
    <row r="117">
      <c r="C117" s="126"/>
    </row>
    <row r="118">
      <c r="C118" s="126"/>
    </row>
    <row r="119">
      <c r="C119" s="126"/>
    </row>
    <row r="120">
      <c r="C120" s="126"/>
    </row>
    <row r="121">
      <c r="C121" s="126"/>
    </row>
    <row r="122">
      <c r="C122" s="126"/>
    </row>
    <row r="123">
      <c r="C123" s="126"/>
    </row>
    <row r="124">
      <c r="C124" s="126"/>
    </row>
    <row r="125">
      <c r="C125" s="126"/>
    </row>
    <row r="126">
      <c r="C126" s="126"/>
    </row>
    <row r="127">
      <c r="C127" s="126"/>
    </row>
    <row r="128">
      <c r="C128" s="126"/>
    </row>
    <row r="129">
      <c r="C129" s="126"/>
    </row>
    <row r="130">
      <c r="C130" s="126"/>
    </row>
    <row r="131">
      <c r="C131" s="126"/>
    </row>
    <row r="132">
      <c r="C132" s="126"/>
    </row>
    <row r="133">
      <c r="C133" s="126"/>
    </row>
    <row r="134">
      <c r="C134" s="126"/>
    </row>
    <row r="135">
      <c r="C135" s="126"/>
    </row>
    <row r="136">
      <c r="C136" s="126"/>
    </row>
    <row r="137">
      <c r="C137" s="126"/>
    </row>
    <row r="138">
      <c r="C138" s="126"/>
    </row>
    <row r="139">
      <c r="C139" s="126"/>
    </row>
    <row r="140">
      <c r="C140" s="126"/>
    </row>
    <row r="141">
      <c r="C141" s="126"/>
    </row>
    <row r="142">
      <c r="C142" s="126"/>
    </row>
    <row r="143">
      <c r="C143" s="126"/>
    </row>
    <row r="144">
      <c r="C144" s="126"/>
    </row>
    <row r="145">
      <c r="C145" s="126"/>
    </row>
    <row r="146">
      <c r="C146" s="126"/>
    </row>
    <row r="147">
      <c r="C147" s="126"/>
    </row>
    <row r="148">
      <c r="C148" s="126"/>
    </row>
    <row r="149">
      <c r="C149" s="126"/>
    </row>
    <row r="150">
      <c r="C150" s="126"/>
    </row>
    <row r="151">
      <c r="C151" s="126"/>
    </row>
    <row r="152">
      <c r="C152" s="126"/>
    </row>
    <row r="153">
      <c r="C153" s="126"/>
    </row>
    <row r="154">
      <c r="C154" s="126"/>
    </row>
    <row r="155">
      <c r="C155" s="126"/>
    </row>
    <row r="156">
      <c r="C156" s="126"/>
    </row>
    <row r="157">
      <c r="C157" s="126"/>
    </row>
    <row r="158">
      <c r="C158" s="126"/>
    </row>
    <row r="159">
      <c r="C159" s="126"/>
    </row>
    <row r="160">
      <c r="C160" s="126"/>
    </row>
    <row r="161">
      <c r="C161" s="126"/>
    </row>
    <row r="162">
      <c r="C162" s="126"/>
    </row>
    <row r="163">
      <c r="C163" s="126"/>
    </row>
    <row r="164">
      <c r="C164" s="126"/>
    </row>
    <row r="165">
      <c r="C165" s="126"/>
    </row>
    <row r="166">
      <c r="C166" s="126"/>
    </row>
    <row r="167">
      <c r="C167" s="126"/>
    </row>
    <row r="168">
      <c r="C168" s="126"/>
    </row>
    <row r="169">
      <c r="C169" s="126"/>
    </row>
    <row r="170">
      <c r="C170" s="126"/>
    </row>
    <row r="171">
      <c r="C171" s="126"/>
    </row>
    <row r="172">
      <c r="C172" s="126"/>
    </row>
    <row r="173">
      <c r="C173" s="126"/>
    </row>
    <row r="174">
      <c r="C174" s="126"/>
    </row>
    <row r="175">
      <c r="C175" s="126"/>
    </row>
    <row r="176">
      <c r="C176" s="126"/>
    </row>
    <row r="177">
      <c r="C177" s="126"/>
    </row>
    <row r="178">
      <c r="C178" s="126"/>
    </row>
    <row r="179">
      <c r="C179" s="126"/>
    </row>
    <row r="180">
      <c r="C180" s="126"/>
    </row>
    <row r="181">
      <c r="C181" s="126"/>
    </row>
    <row r="182">
      <c r="C182" s="126"/>
    </row>
    <row r="183">
      <c r="C183" s="126"/>
    </row>
    <row r="184">
      <c r="C184" s="126"/>
    </row>
    <row r="185">
      <c r="C185" s="126"/>
    </row>
    <row r="186">
      <c r="C186" s="126"/>
    </row>
    <row r="187">
      <c r="C187" s="126"/>
    </row>
    <row r="188">
      <c r="C188" s="126"/>
    </row>
    <row r="189">
      <c r="C189" s="126"/>
    </row>
    <row r="190">
      <c r="C190" s="126"/>
    </row>
    <row r="191">
      <c r="C191" s="126"/>
    </row>
    <row r="192">
      <c r="C192" s="126"/>
    </row>
    <row r="193">
      <c r="C193" s="126"/>
    </row>
    <row r="194">
      <c r="C194" s="126"/>
    </row>
    <row r="195">
      <c r="C195" s="126"/>
    </row>
    <row r="196">
      <c r="C196" s="126"/>
    </row>
    <row r="197">
      <c r="C197" s="126"/>
    </row>
    <row r="198">
      <c r="C198" s="126"/>
    </row>
    <row r="199">
      <c r="C199" s="126"/>
    </row>
    <row r="200">
      <c r="C200" s="126"/>
    </row>
    <row r="201">
      <c r="C201" s="126"/>
    </row>
    <row r="202">
      <c r="C202" s="126"/>
    </row>
    <row r="203">
      <c r="C203" s="126"/>
    </row>
    <row r="204">
      <c r="C204" s="126"/>
    </row>
    <row r="205">
      <c r="C205" s="126"/>
    </row>
    <row r="206">
      <c r="C206" s="126"/>
    </row>
    <row r="207">
      <c r="C207" s="126"/>
    </row>
    <row r="208">
      <c r="C208" s="126"/>
    </row>
    <row r="209">
      <c r="C209" s="126"/>
    </row>
    <row r="210">
      <c r="C210" s="126"/>
    </row>
    <row r="211">
      <c r="C211" s="126"/>
    </row>
    <row r="212">
      <c r="C212" s="126"/>
    </row>
    <row r="213">
      <c r="C213" s="126"/>
    </row>
    <row r="214">
      <c r="C214" s="126"/>
    </row>
    <row r="215">
      <c r="C215" s="126"/>
    </row>
    <row r="216">
      <c r="C216" s="126"/>
    </row>
    <row r="217">
      <c r="C217" s="126"/>
    </row>
    <row r="218">
      <c r="C218" s="126"/>
    </row>
    <row r="219">
      <c r="C219" s="126"/>
    </row>
    <row r="220">
      <c r="C220" s="126"/>
    </row>
    <row r="221">
      <c r="C221" s="126"/>
    </row>
    <row r="222">
      <c r="C222" s="126"/>
    </row>
    <row r="223">
      <c r="C223" s="126"/>
    </row>
    <row r="224">
      <c r="C224" s="126"/>
    </row>
    <row r="225">
      <c r="C225" s="126"/>
    </row>
    <row r="226">
      <c r="C226" s="126"/>
    </row>
    <row r="227">
      <c r="C227" s="126"/>
    </row>
    <row r="228">
      <c r="C228" s="126"/>
    </row>
    <row r="229">
      <c r="C229" s="126"/>
    </row>
    <row r="230">
      <c r="C230" s="126"/>
    </row>
    <row r="231">
      <c r="C231" s="126"/>
    </row>
    <row r="232">
      <c r="C232" s="126"/>
    </row>
    <row r="233">
      <c r="C233" s="126"/>
    </row>
    <row r="234">
      <c r="C234" s="126"/>
    </row>
    <row r="235">
      <c r="C235" s="126"/>
    </row>
    <row r="236">
      <c r="C236" s="126"/>
    </row>
    <row r="237">
      <c r="C237" s="126"/>
    </row>
    <row r="238">
      <c r="C238" s="126"/>
    </row>
    <row r="239">
      <c r="C239" s="126"/>
    </row>
    <row r="240">
      <c r="C240" s="126"/>
    </row>
    <row r="241">
      <c r="C241" s="126"/>
    </row>
    <row r="242">
      <c r="C242" s="126"/>
    </row>
    <row r="243">
      <c r="C243" s="126"/>
    </row>
    <row r="244">
      <c r="C244" s="126"/>
    </row>
    <row r="245">
      <c r="C245" s="126"/>
    </row>
    <row r="246">
      <c r="C246" s="126"/>
    </row>
    <row r="247">
      <c r="C247" s="126"/>
    </row>
    <row r="248">
      <c r="C248" s="126"/>
    </row>
    <row r="249">
      <c r="C249" s="126"/>
    </row>
    <row r="250">
      <c r="C250" s="126"/>
    </row>
    <row r="251">
      <c r="C251" s="126"/>
    </row>
    <row r="252">
      <c r="C252" s="126"/>
    </row>
    <row r="253">
      <c r="C253" s="126"/>
    </row>
    <row r="254">
      <c r="C254" s="126"/>
    </row>
    <row r="255">
      <c r="C255" s="126"/>
    </row>
    <row r="256">
      <c r="C256" s="126"/>
    </row>
    <row r="257">
      <c r="C257" s="126"/>
    </row>
    <row r="258">
      <c r="C258" s="126"/>
    </row>
    <row r="259">
      <c r="C259" s="126"/>
    </row>
    <row r="260">
      <c r="C260" s="126"/>
    </row>
    <row r="261">
      <c r="C261" s="126"/>
    </row>
    <row r="262">
      <c r="C262" s="126"/>
    </row>
    <row r="263">
      <c r="C263" s="126"/>
    </row>
    <row r="264">
      <c r="C264" s="126"/>
    </row>
    <row r="265">
      <c r="C265" s="126"/>
    </row>
    <row r="266">
      <c r="C266" s="126"/>
    </row>
    <row r="267">
      <c r="C267" s="126"/>
    </row>
    <row r="268">
      <c r="C268" s="126"/>
    </row>
    <row r="269">
      <c r="C269" s="126"/>
    </row>
    <row r="270">
      <c r="C270" s="126"/>
    </row>
    <row r="271">
      <c r="C271" s="126"/>
    </row>
    <row r="272">
      <c r="C272" s="126"/>
    </row>
    <row r="273">
      <c r="C273" s="126"/>
    </row>
    <row r="274">
      <c r="C274" s="126"/>
    </row>
    <row r="275">
      <c r="C275" s="126"/>
    </row>
    <row r="276">
      <c r="C276" s="126"/>
    </row>
    <row r="277">
      <c r="C277" s="126"/>
    </row>
    <row r="278">
      <c r="C278" s="126"/>
    </row>
    <row r="279">
      <c r="C279" s="126"/>
    </row>
    <row r="280">
      <c r="C280" s="126"/>
    </row>
    <row r="281">
      <c r="C281" s="126"/>
    </row>
    <row r="282">
      <c r="C282" s="126"/>
    </row>
    <row r="283">
      <c r="C283" s="126"/>
    </row>
    <row r="284">
      <c r="C284" s="126"/>
    </row>
    <row r="285">
      <c r="C285" s="126"/>
    </row>
    <row r="286">
      <c r="C286" s="126"/>
    </row>
    <row r="287">
      <c r="C287" s="126"/>
    </row>
    <row r="288">
      <c r="C288" s="126"/>
    </row>
    <row r="289">
      <c r="C289" s="126"/>
    </row>
    <row r="290">
      <c r="C290" s="126"/>
    </row>
    <row r="291">
      <c r="C291" s="126"/>
    </row>
    <row r="292">
      <c r="C292" s="126"/>
    </row>
    <row r="293">
      <c r="C293" s="126"/>
    </row>
    <row r="294">
      <c r="C294" s="126"/>
    </row>
    <row r="295">
      <c r="C295" s="126"/>
    </row>
    <row r="296">
      <c r="C296" s="126"/>
    </row>
    <row r="297">
      <c r="C297" s="126"/>
    </row>
    <row r="298">
      <c r="C298" s="126"/>
    </row>
    <row r="299">
      <c r="C299" s="126"/>
    </row>
    <row r="300">
      <c r="C300" s="126"/>
    </row>
    <row r="301">
      <c r="C301" s="126"/>
    </row>
    <row r="302">
      <c r="C302" s="126"/>
    </row>
    <row r="303">
      <c r="C303" s="126"/>
    </row>
    <row r="304">
      <c r="C304" s="126"/>
    </row>
    <row r="305">
      <c r="C305" s="126"/>
    </row>
    <row r="306">
      <c r="C306" s="126"/>
    </row>
    <row r="307">
      <c r="C307" s="126"/>
    </row>
    <row r="308">
      <c r="C308" s="126"/>
    </row>
    <row r="309">
      <c r="C309" s="126"/>
    </row>
    <row r="310">
      <c r="C310" s="126"/>
    </row>
    <row r="311">
      <c r="C311" s="126"/>
    </row>
    <row r="312">
      <c r="C312" s="126"/>
    </row>
    <row r="313">
      <c r="C313" s="126"/>
    </row>
    <row r="314">
      <c r="C314" s="126"/>
    </row>
    <row r="315">
      <c r="C315" s="126"/>
    </row>
    <row r="316">
      <c r="C316" s="126"/>
    </row>
    <row r="317">
      <c r="C317" s="126"/>
    </row>
    <row r="318">
      <c r="C318" s="126"/>
    </row>
    <row r="319">
      <c r="C319" s="126"/>
    </row>
    <row r="320">
      <c r="C320" s="126"/>
    </row>
    <row r="321">
      <c r="C321" s="126"/>
    </row>
    <row r="322">
      <c r="C322" s="126"/>
    </row>
    <row r="323">
      <c r="C323" s="126"/>
    </row>
    <row r="324">
      <c r="C324" s="126"/>
    </row>
    <row r="325">
      <c r="C325" s="126"/>
    </row>
    <row r="326">
      <c r="C326" s="126"/>
    </row>
    <row r="327">
      <c r="C327" s="126"/>
    </row>
    <row r="328">
      <c r="C328" s="126"/>
    </row>
    <row r="329">
      <c r="C329" s="126"/>
    </row>
    <row r="330">
      <c r="C330" s="126"/>
    </row>
    <row r="331">
      <c r="C331" s="126"/>
    </row>
    <row r="332">
      <c r="C332" s="126"/>
    </row>
    <row r="333">
      <c r="C333" s="126"/>
    </row>
    <row r="334">
      <c r="C334" s="126"/>
    </row>
    <row r="335">
      <c r="C335" s="126"/>
    </row>
    <row r="336">
      <c r="C336" s="126"/>
    </row>
    <row r="337">
      <c r="C337" s="126"/>
    </row>
    <row r="338">
      <c r="C338" s="126"/>
    </row>
    <row r="339">
      <c r="C339" s="126"/>
    </row>
    <row r="340">
      <c r="C340" s="126"/>
    </row>
    <row r="341">
      <c r="C341" s="126"/>
    </row>
    <row r="342">
      <c r="C342" s="126"/>
    </row>
    <row r="343">
      <c r="C343" s="126"/>
    </row>
    <row r="344">
      <c r="C344" s="126"/>
    </row>
    <row r="345">
      <c r="C345" s="126"/>
    </row>
    <row r="346">
      <c r="C346" s="126"/>
    </row>
    <row r="347">
      <c r="C347" s="126"/>
    </row>
    <row r="348">
      <c r="C348" s="126"/>
    </row>
    <row r="349">
      <c r="C349" s="126"/>
    </row>
    <row r="350">
      <c r="C350" s="126"/>
    </row>
    <row r="351">
      <c r="C351" s="126"/>
    </row>
    <row r="352">
      <c r="C352" s="126"/>
    </row>
    <row r="353">
      <c r="C353" s="126"/>
    </row>
    <row r="354">
      <c r="C354" s="126"/>
    </row>
    <row r="355">
      <c r="C355" s="126"/>
    </row>
    <row r="356">
      <c r="C356" s="126"/>
    </row>
    <row r="357">
      <c r="C357" s="126"/>
    </row>
    <row r="358">
      <c r="C358" s="126"/>
    </row>
    <row r="359">
      <c r="C359" s="126"/>
    </row>
    <row r="360">
      <c r="C360" s="126"/>
    </row>
    <row r="361">
      <c r="C361" s="126"/>
    </row>
    <row r="362">
      <c r="C362" s="126"/>
    </row>
    <row r="363">
      <c r="C363" s="126"/>
    </row>
    <row r="364">
      <c r="C364" s="126"/>
    </row>
    <row r="365">
      <c r="C365" s="126"/>
    </row>
    <row r="366">
      <c r="C366" s="126"/>
    </row>
    <row r="367">
      <c r="C367" s="126"/>
    </row>
    <row r="368">
      <c r="C368" s="126"/>
    </row>
    <row r="369">
      <c r="C369" s="126"/>
    </row>
    <row r="370">
      <c r="C370" s="126"/>
    </row>
    <row r="371">
      <c r="C371" s="126"/>
    </row>
    <row r="372">
      <c r="C372" s="126"/>
    </row>
    <row r="373">
      <c r="C373" s="126"/>
    </row>
    <row r="374">
      <c r="C374" s="126"/>
    </row>
    <row r="375">
      <c r="C375" s="126"/>
    </row>
    <row r="376">
      <c r="C376" s="126"/>
    </row>
    <row r="377">
      <c r="C377" s="126"/>
    </row>
    <row r="378">
      <c r="C378" s="126"/>
    </row>
    <row r="379">
      <c r="C379" s="126"/>
    </row>
    <row r="380">
      <c r="C380" s="126"/>
    </row>
    <row r="381">
      <c r="C381" s="126"/>
    </row>
    <row r="382">
      <c r="C382" s="126"/>
    </row>
    <row r="383">
      <c r="C383" s="126"/>
    </row>
    <row r="384">
      <c r="C384" s="126"/>
    </row>
    <row r="385">
      <c r="C385" s="126"/>
    </row>
    <row r="386">
      <c r="C386" s="126"/>
    </row>
    <row r="387">
      <c r="C387" s="126"/>
    </row>
    <row r="388">
      <c r="C388" s="126"/>
    </row>
    <row r="389">
      <c r="C389" s="126"/>
    </row>
    <row r="390">
      <c r="C390" s="126"/>
    </row>
    <row r="391">
      <c r="C391" s="126"/>
    </row>
    <row r="392">
      <c r="C392" s="126"/>
    </row>
    <row r="393">
      <c r="C393" s="126"/>
    </row>
    <row r="394">
      <c r="C394" s="126"/>
    </row>
    <row r="395">
      <c r="C395" s="126"/>
    </row>
    <row r="396">
      <c r="C396" s="126"/>
    </row>
    <row r="397">
      <c r="C397" s="126"/>
    </row>
    <row r="398">
      <c r="C398" s="126"/>
    </row>
    <row r="399">
      <c r="C399" s="126"/>
    </row>
    <row r="400">
      <c r="C400" s="126"/>
    </row>
    <row r="401">
      <c r="C401" s="126"/>
    </row>
    <row r="402">
      <c r="C402" s="126"/>
    </row>
    <row r="403">
      <c r="C403" s="126"/>
    </row>
    <row r="404">
      <c r="C404" s="126"/>
    </row>
    <row r="405">
      <c r="C405" s="126"/>
    </row>
    <row r="406">
      <c r="C406" s="126"/>
    </row>
    <row r="407">
      <c r="C407" s="126"/>
    </row>
    <row r="408">
      <c r="C408" s="126"/>
    </row>
    <row r="409">
      <c r="C409" s="126"/>
    </row>
    <row r="410">
      <c r="C410" s="126"/>
    </row>
    <row r="411">
      <c r="C411" s="126"/>
    </row>
    <row r="412">
      <c r="C412" s="126"/>
    </row>
    <row r="413">
      <c r="C413" s="126"/>
    </row>
    <row r="414">
      <c r="C414" s="126"/>
    </row>
    <row r="415">
      <c r="C415" s="126"/>
    </row>
    <row r="416">
      <c r="C416" s="126"/>
    </row>
    <row r="417">
      <c r="C417" s="126"/>
    </row>
    <row r="418">
      <c r="C418" s="126"/>
    </row>
    <row r="419">
      <c r="C419" s="126"/>
    </row>
    <row r="420">
      <c r="C420" s="126"/>
    </row>
    <row r="421">
      <c r="C421" s="126"/>
    </row>
    <row r="422">
      <c r="C422" s="126"/>
    </row>
    <row r="423">
      <c r="C423" s="126"/>
    </row>
    <row r="424">
      <c r="C424" s="126"/>
    </row>
    <row r="425">
      <c r="C425" s="126"/>
    </row>
    <row r="426">
      <c r="C426" s="126"/>
    </row>
    <row r="427">
      <c r="C427" s="126"/>
    </row>
    <row r="428">
      <c r="C428" s="126"/>
    </row>
    <row r="429">
      <c r="C429" s="126"/>
    </row>
    <row r="430">
      <c r="C430" s="126"/>
    </row>
    <row r="431">
      <c r="C431" s="126"/>
    </row>
    <row r="432">
      <c r="C432" s="126"/>
    </row>
    <row r="433">
      <c r="C433" s="126"/>
    </row>
    <row r="434">
      <c r="C434" s="126"/>
    </row>
    <row r="435">
      <c r="C435" s="126"/>
    </row>
    <row r="436">
      <c r="C436" s="126"/>
    </row>
    <row r="437">
      <c r="C437" s="126"/>
    </row>
    <row r="438">
      <c r="C438" s="126"/>
    </row>
    <row r="439">
      <c r="C439" s="126"/>
    </row>
    <row r="440">
      <c r="C440" s="126"/>
    </row>
    <row r="441">
      <c r="C441" s="126"/>
    </row>
    <row r="442">
      <c r="C442" s="126"/>
    </row>
    <row r="443">
      <c r="C443" s="126"/>
    </row>
    <row r="444">
      <c r="C444" s="126"/>
    </row>
    <row r="445">
      <c r="C445" s="126"/>
    </row>
    <row r="446">
      <c r="C446" s="126"/>
    </row>
    <row r="447">
      <c r="C447" s="126"/>
    </row>
    <row r="448">
      <c r="C448" s="126"/>
    </row>
    <row r="449">
      <c r="C449" s="126"/>
    </row>
    <row r="450">
      <c r="C450" s="126"/>
    </row>
    <row r="451">
      <c r="C451" s="126"/>
    </row>
    <row r="452">
      <c r="C452" s="126"/>
    </row>
    <row r="453">
      <c r="C453" s="126"/>
    </row>
    <row r="454">
      <c r="C454" s="126"/>
    </row>
    <row r="455">
      <c r="C455" s="126"/>
    </row>
    <row r="456">
      <c r="C456" s="126"/>
    </row>
    <row r="457">
      <c r="C457" s="126"/>
    </row>
    <row r="458">
      <c r="C458" s="126"/>
    </row>
    <row r="459">
      <c r="C459" s="126"/>
    </row>
    <row r="460">
      <c r="C460" s="126"/>
    </row>
    <row r="461">
      <c r="C461" s="126"/>
    </row>
    <row r="462">
      <c r="C462" s="126"/>
    </row>
    <row r="463">
      <c r="C463" s="126"/>
    </row>
    <row r="464">
      <c r="C464" s="126"/>
    </row>
    <row r="465">
      <c r="C465" s="126"/>
    </row>
    <row r="466">
      <c r="C466" s="126"/>
    </row>
    <row r="467">
      <c r="C467" s="126"/>
    </row>
    <row r="468">
      <c r="C468" s="126"/>
    </row>
    <row r="469">
      <c r="C469" s="126"/>
    </row>
    <row r="470">
      <c r="C470" s="126"/>
    </row>
    <row r="471">
      <c r="C471" s="126"/>
    </row>
    <row r="472">
      <c r="C472" s="126"/>
    </row>
    <row r="473">
      <c r="C473" s="126"/>
    </row>
    <row r="474">
      <c r="C474" s="126"/>
    </row>
    <row r="475">
      <c r="C475" s="126"/>
    </row>
    <row r="476">
      <c r="C476" s="126"/>
    </row>
    <row r="477">
      <c r="C477" s="126"/>
    </row>
    <row r="478">
      <c r="C478" s="126"/>
    </row>
    <row r="479">
      <c r="C479" s="126"/>
    </row>
    <row r="480">
      <c r="C480" s="126"/>
    </row>
    <row r="481">
      <c r="C481" s="126"/>
    </row>
    <row r="482">
      <c r="C482" s="126"/>
    </row>
    <row r="483">
      <c r="C483" s="126"/>
    </row>
    <row r="484">
      <c r="C484" s="126"/>
    </row>
    <row r="485">
      <c r="C485" s="126"/>
    </row>
    <row r="486">
      <c r="C486" s="126"/>
    </row>
    <row r="487">
      <c r="C487" s="126"/>
    </row>
    <row r="488">
      <c r="C488" s="126"/>
    </row>
    <row r="489">
      <c r="C489" s="126"/>
    </row>
    <row r="490">
      <c r="C490" s="126"/>
    </row>
    <row r="491">
      <c r="C491" s="126"/>
    </row>
    <row r="492">
      <c r="C492" s="126"/>
    </row>
    <row r="493">
      <c r="C493" s="126"/>
    </row>
    <row r="494">
      <c r="C494" s="126"/>
    </row>
    <row r="495">
      <c r="C495" s="126"/>
    </row>
    <row r="496">
      <c r="C496" s="126"/>
    </row>
    <row r="497">
      <c r="C497" s="126"/>
    </row>
    <row r="498">
      <c r="C498" s="126"/>
    </row>
    <row r="499">
      <c r="C499" s="126"/>
    </row>
    <row r="500">
      <c r="C500" s="126"/>
    </row>
    <row r="501">
      <c r="C501" s="126"/>
    </row>
    <row r="502">
      <c r="C502" s="126"/>
    </row>
    <row r="503">
      <c r="C503" s="126"/>
    </row>
    <row r="504">
      <c r="C504" s="126"/>
    </row>
    <row r="505">
      <c r="C505" s="126"/>
    </row>
    <row r="506">
      <c r="C506" s="126"/>
    </row>
    <row r="507">
      <c r="C507" s="126"/>
    </row>
    <row r="508">
      <c r="C508" s="126"/>
    </row>
    <row r="509">
      <c r="C509" s="126"/>
    </row>
    <row r="510">
      <c r="C510" s="126"/>
    </row>
    <row r="511">
      <c r="C511" s="126"/>
    </row>
    <row r="512">
      <c r="C512" s="126"/>
    </row>
    <row r="513">
      <c r="C513" s="126"/>
    </row>
    <row r="514">
      <c r="C514" s="126"/>
    </row>
    <row r="515">
      <c r="C515" s="126"/>
    </row>
    <row r="516">
      <c r="C516" s="126"/>
    </row>
    <row r="517">
      <c r="C517" s="126"/>
    </row>
    <row r="518">
      <c r="C518" s="126"/>
    </row>
    <row r="519">
      <c r="C519" s="126"/>
    </row>
    <row r="520">
      <c r="C520" s="126"/>
    </row>
    <row r="521">
      <c r="C521" s="126"/>
    </row>
    <row r="522">
      <c r="C522" s="126"/>
    </row>
    <row r="523">
      <c r="C523" s="126"/>
    </row>
    <row r="524">
      <c r="C524" s="126"/>
    </row>
    <row r="525">
      <c r="C525" s="126"/>
    </row>
    <row r="526">
      <c r="C526" s="126"/>
    </row>
    <row r="527">
      <c r="C527" s="126"/>
    </row>
    <row r="528">
      <c r="C528" s="126"/>
    </row>
    <row r="529">
      <c r="C529" s="126"/>
    </row>
    <row r="530">
      <c r="C530" s="126"/>
    </row>
    <row r="531">
      <c r="C531" s="126"/>
    </row>
    <row r="532">
      <c r="C532" s="126"/>
    </row>
    <row r="533">
      <c r="C533" s="126"/>
    </row>
    <row r="534">
      <c r="C534" s="126"/>
    </row>
    <row r="535">
      <c r="C535" s="126"/>
    </row>
    <row r="536">
      <c r="C536" s="126"/>
    </row>
    <row r="537">
      <c r="C537" s="126"/>
    </row>
    <row r="538">
      <c r="C538" s="126"/>
    </row>
    <row r="539">
      <c r="C539" s="126"/>
    </row>
    <row r="540">
      <c r="C540" s="126"/>
    </row>
    <row r="541">
      <c r="C541" s="126"/>
    </row>
    <row r="542">
      <c r="C542" s="126"/>
    </row>
    <row r="543">
      <c r="C543" s="126"/>
    </row>
    <row r="544">
      <c r="C544" s="126"/>
    </row>
    <row r="545">
      <c r="C545" s="126"/>
    </row>
    <row r="546">
      <c r="C546" s="126"/>
    </row>
    <row r="547">
      <c r="C547" s="126"/>
    </row>
    <row r="548">
      <c r="C548" s="126"/>
    </row>
    <row r="549">
      <c r="C549" s="126"/>
    </row>
    <row r="550">
      <c r="C550" s="126"/>
    </row>
    <row r="551">
      <c r="C551" s="126"/>
    </row>
    <row r="552">
      <c r="C552" s="126"/>
    </row>
    <row r="553">
      <c r="C553" s="126"/>
    </row>
    <row r="554">
      <c r="C554" s="126"/>
    </row>
    <row r="555">
      <c r="C555" s="126"/>
    </row>
    <row r="556">
      <c r="C556" s="126"/>
    </row>
    <row r="557">
      <c r="C557" s="126"/>
    </row>
    <row r="558">
      <c r="C558" s="126"/>
    </row>
    <row r="559">
      <c r="C559" s="126"/>
    </row>
    <row r="560">
      <c r="C560" s="126"/>
    </row>
    <row r="561">
      <c r="C561" s="126"/>
    </row>
    <row r="562">
      <c r="C562" s="126"/>
    </row>
    <row r="563">
      <c r="C563" s="126"/>
    </row>
    <row r="564">
      <c r="C564" s="126"/>
    </row>
    <row r="565">
      <c r="C565" s="126"/>
    </row>
    <row r="566">
      <c r="C566" s="126"/>
    </row>
    <row r="567">
      <c r="C567" s="126"/>
    </row>
    <row r="568">
      <c r="C568" s="126"/>
    </row>
    <row r="569">
      <c r="C569" s="126"/>
    </row>
    <row r="570">
      <c r="C570" s="126"/>
    </row>
    <row r="571">
      <c r="C571" s="126"/>
    </row>
    <row r="572">
      <c r="C572" s="126"/>
    </row>
    <row r="573">
      <c r="C573" s="126"/>
    </row>
    <row r="574">
      <c r="C574" s="126"/>
    </row>
    <row r="575">
      <c r="C575" s="126"/>
    </row>
    <row r="576">
      <c r="C576" s="126"/>
    </row>
    <row r="577">
      <c r="C577" s="126"/>
    </row>
    <row r="578">
      <c r="C578" s="126"/>
    </row>
    <row r="579">
      <c r="C579" s="126"/>
    </row>
    <row r="580">
      <c r="C580" s="126"/>
    </row>
    <row r="581">
      <c r="C581" s="126"/>
    </row>
    <row r="582">
      <c r="C582" s="126"/>
    </row>
    <row r="583">
      <c r="C583" s="126"/>
    </row>
    <row r="584">
      <c r="C584" s="126"/>
    </row>
    <row r="585">
      <c r="C585" s="126"/>
    </row>
    <row r="586">
      <c r="C586" s="126"/>
    </row>
    <row r="587">
      <c r="C587" s="126"/>
    </row>
    <row r="588">
      <c r="C588" s="126"/>
    </row>
    <row r="589">
      <c r="C589" s="126"/>
    </row>
    <row r="590">
      <c r="C590" s="126"/>
    </row>
    <row r="591">
      <c r="C591" s="126"/>
    </row>
    <row r="592">
      <c r="C592" s="126"/>
    </row>
    <row r="593">
      <c r="C593" s="126"/>
    </row>
    <row r="594">
      <c r="C594" s="126"/>
    </row>
    <row r="595">
      <c r="C595" s="126"/>
    </row>
    <row r="596">
      <c r="C596" s="126"/>
    </row>
    <row r="597">
      <c r="C597" s="126"/>
    </row>
    <row r="598">
      <c r="C598" s="126"/>
    </row>
    <row r="599">
      <c r="C599" s="126"/>
    </row>
    <row r="600">
      <c r="C600" s="126"/>
    </row>
    <row r="601">
      <c r="C601" s="126"/>
    </row>
    <row r="602">
      <c r="C602" s="126"/>
    </row>
    <row r="603">
      <c r="C603" s="126"/>
    </row>
    <row r="604">
      <c r="C604" s="126"/>
    </row>
    <row r="605">
      <c r="C605" s="126"/>
    </row>
    <row r="606">
      <c r="C606" s="126"/>
    </row>
    <row r="607">
      <c r="C607" s="126"/>
    </row>
    <row r="608">
      <c r="C608" s="126"/>
    </row>
    <row r="609">
      <c r="C609" s="126"/>
    </row>
    <row r="610">
      <c r="C610" s="126"/>
    </row>
    <row r="611">
      <c r="C611" s="126"/>
    </row>
    <row r="612">
      <c r="C612" s="126"/>
    </row>
    <row r="613">
      <c r="C613" s="126"/>
    </row>
    <row r="614">
      <c r="C614" s="126"/>
    </row>
    <row r="615">
      <c r="C615" s="126"/>
    </row>
    <row r="616">
      <c r="C616" s="126"/>
    </row>
    <row r="617">
      <c r="C617" s="126"/>
    </row>
    <row r="618">
      <c r="C618" s="126"/>
    </row>
    <row r="619">
      <c r="C619" s="126"/>
    </row>
    <row r="620">
      <c r="C620" s="126"/>
    </row>
    <row r="621">
      <c r="C621" s="126"/>
    </row>
    <row r="622">
      <c r="C622" s="126"/>
    </row>
    <row r="623">
      <c r="C623" s="126"/>
    </row>
    <row r="624">
      <c r="C624" s="126"/>
    </row>
    <row r="625">
      <c r="C625" s="126"/>
    </row>
    <row r="626">
      <c r="C626" s="126"/>
    </row>
    <row r="627">
      <c r="C627" s="126"/>
    </row>
    <row r="628">
      <c r="C628" s="126"/>
    </row>
    <row r="629">
      <c r="C629" s="126"/>
    </row>
    <row r="630">
      <c r="C630" s="126"/>
    </row>
    <row r="631">
      <c r="C631" s="126"/>
    </row>
    <row r="632">
      <c r="C632" s="126"/>
    </row>
    <row r="633">
      <c r="C633" s="126"/>
    </row>
    <row r="634">
      <c r="C634" s="126"/>
    </row>
    <row r="635">
      <c r="C635" s="126"/>
    </row>
    <row r="636">
      <c r="C636" s="126"/>
    </row>
    <row r="637">
      <c r="C637" s="126"/>
    </row>
    <row r="638">
      <c r="C638" s="126"/>
    </row>
    <row r="639">
      <c r="C639" s="126"/>
    </row>
    <row r="640">
      <c r="C640" s="126"/>
    </row>
    <row r="641">
      <c r="C641" s="126"/>
    </row>
    <row r="642">
      <c r="C642" s="126"/>
    </row>
    <row r="643">
      <c r="C643" s="126"/>
    </row>
    <row r="644">
      <c r="C644" s="126"/>
    </row>
    <row r="645">
      <c r="C645" s="126"/>
    </row>
    <row r="646">
      <c r="C646" s="126"/>
    </row>
    <row r="647">
      <c r="C647" s="126"/>
    </row>
    <row r="648">
      <c r="C648" s="126"/>
    </row>
    <row r="649">
      <c r="C649" s="126"/>
    </row>
    <row r="650">
      <c r="C650" s="126"/>
    </row>
    <row r="651">
      <c r="C651" s="126"/>
    </row>
    <row r="652">
      <c r="C652" s="126"/>
    </row>
    <row r="653">
      <c r="C653" s="126"/>
    </row>
    <row r="654">
      <c r="C654" s="126"/>
    </row>
    <row r="655">
      <c r="C655" s="126"/>
    </row>
    <row r="656">
      <c r="C656" s="126"/>
    </row>
    <row r="657">
      <c r="C657" s="126"/>
    </row>
    <row r="658">
      <c r="C658" s="126"/>
    </row>
    <row r="659">
      <c r="C659" s="126"/>
    </row>
    <row r="660">
      <c r="C660" s="126"/>
    </row>
    <row r="661">
      <c r="C661" s="126"/>
    </row>
    <row r="662">
      <c r="C662" s="126"/>
    </row>
    <row r="663">
      <c r="C663" s="126"/>
    </row>
    <row r="664">
      <c r="C664" s="126"/>
    </row>
    <row r="665">
      <c r="C665" s="126"/>
    </row>
    <row r="666">
      <c r="C666" s="126"/>
    </row>
    <row r="667">
      <c r="C667" s="126"/>
    </row>
    <row r="668">
      <c r="C668" s="126"/>
    </row>
    <row r="669">
      <c r="C669" s="126"/>
    </row>
    <row r="670">
      <c r="C670" s="126"/>
    </row>
    <row r="671">
      <c r="C671" s="126"/>
    </row>
    <row r="672">
      <c r="C672" s="126"/>
    </row>
    <row r="673">
      <c r="C673" s="126"/>
    </row>
    <row r="674">
      <c r="C674" s="126"/>
    </row>
    <row r="675">
      <c r="C675" s="126"/>
    </row>
    <row r="676">
      <c r="C676" s="126"/>
    </row>
    <row r="677">
      <c r="C677" s="126"/>
    </row>
    <row r="678">
      <c r="C678" s="126"/>
    </row>
    <row r="679">
      <c r="C679" s="126"/>
    </row>
    <row r="680">
      <c r="C680" s="126"/>
    </row>
    <row r="681">
      <c r="C681" s="126"/>
    </row>
    <row r="682">
      <c r="C682" s="126"/>
    </row>
    <row r="683">
      <c r="C683" s="126"/>
    </row>
    <row r="684">
      <c r="C684" s="126"/>
    </row>
    <row r="685">
      <c r="C685" s="126"/>
    </row>
    <row r="686">
      <c r="C686" s="126"/>
    </row>
    <row r="687">
      <c r="C687" s="126"/>
    </row>
    <row r="688">
      <c r="C688" s="126"/>
    </row>
    <row r="689">
      <c r="C689" s="126"/>
    </row>
    <row r="690">
      <c r="C690" s="126"/>
    </row>
    <row r="691">
      <c r="C691" s="126"/>
    </row>
    <row r="692">
      <c r="C692" s="126"/>
    </row>
    <row r="693">
      <c r="C693" s="126"/>
    </row>
    <row r="694">
      <c r="C694" s="126"/>
    </row>
    <row r="695">
      <c r="C695" s="126"/>
    </row>
    <row r="696">
      <c r="C696" s="126"/>
    </row>
    <row r="697">
      <c r="C697" s="126"/>
    </row>
    <row r="698">
      <c r="C698" s="126"/>
    </row>
    <row r="699">
      <c r="C699" s="126"/>
    </row>
    <row r="700">
      <c r="C700" s="126"/>
    </row>
    <row r="701">
      <c r="C701" s="126"/>
    </row>
    <row r="702">
      <c r="C702" s="126"/>
    </row>
    <row r="703">
      <c r="C703" s="126"/>
    </row>
    <row r="704">
      <c r="C704" s="126"/>
    </row>
    <row r="705">
      <c r="C705" s="126"/>
    </row>
    <row r="706">
      <c r="C706" s="126"/>
    </row>
    <row r="707">
      <c r="C707" s="126"/>
    </row>
    <row r="708">
      <c r="C708" s="126"/>
    </row>
    <row r="709">
      <c r="C709" s="126"/>
    </row>
    <row r="710">
      <c r="C710" s="126"/>
    </row>
    <row r="711">
      <c r="C711" s="126"/>
    </row>
    <row r="712">
      <c r="C712" s="126"/>
    </row>
    <row r="713">
      <c r="C713" s="126"/>
    </row>
    <row r="714">
      <c r="C714" s="126"/>
    </row>
    <row r="715">
      <c r="C715" s="126"/>
    </row>
    <row r="716">
      <c r="C716" s="126"/>
    </row>
    <row r="717">
      <c r="C717" s="126"/>
    </row>
    <row r="718">
      <c r="C718" s="126"/>
    </row>
    <row r="719">
      <c r="C719" s="126"/>
    </row>
    <row r="720">
      <c r="C720" s="126"/>
    </row>
    <row r="721">
      <c r="C721" s="126"/>
    </row>
    <row r="722">
      <c r="C722" s="126"/>
    </row>
    <row r="723">
      <c r="C723" s="126"/>
    </row>
    <row r="724">
      <c r="C724" s="126"/>
    </row>
    <row r="725">
      <c r="C725" s="126"/>
    </row>
    <row r="726">
      <c r="C726" s="126"/>
    </row>
    <row r="727">
      <c r="C727" s="126"/>
    </row>
    <row r="728">
      <c r="C728" s="126"/>
    </row>
    <row r="729">
      <c r="C729" s="126"/>
    </row>
    <row r="730">
      <c r="C730" s="126"/>
    </row>
    <row r="731">
      <c r="C731" s="126"/>
    </row>
    <row r="732">
      <c r="C732" s="126"/>
    </row>
    <row r="733">
      <c r="C733" s="126"/>
    </row>
    <row r="734">
      <c r="C734" s="126"/>
    </row>
    <row r="735">
      <c r="C735" s="126"/>
    </row>
    <row r="736">
      <c r="C736" s="126"/>
    </row>
    <row r="737">
      <c r="C737" s="126"/>
    </row>
    <row r="738">
      <c r="C738" s="126"/>
    </row>
    <row r="739">
      <c r="C739" s="126"/>
    </row>
    <row r="740">
      <c r="C740" s="126"/>
    </row>
    <row r="741">
      <c r="C741" s="126"/>
    </row>
    <row r="742">
      <c r="C742" s="126"/>
    </row>
    <row r="743">
      <c r="C743" s="126"/>
    </row>
    <row r="744">
      <c r="C744" s="126"/>
    </row>
    <row r="745">
      <c r="C745" s="126"/>
    </row>
    <row r="746">
      <c r="C746" s="126"/>
    </row>
    <row r="747">
      <c r="C747" s="126"/>
    </row>
    <row r="748">
      <c r="C748" s="126"/>
    </row>
    <row r="749">
      <c r="C749" s="126"/>
    </row>
    <row r="750">
      <c r="C750" s="126"/>
    </row>
    <row r="751">
      <c r="C751" s="126"/>
    </row>
    <row r="752">
      <c r="C752" s="126"/>
    </row>
    <row r="753">
      <c r="C753" s="126"/>
    </row>
    <row r="754">
      <c r="C754" s="126"/>
    </row>
    <row r="755">
      <c r="C755" s="126"/>
    </row>
    <row r="756">
      <c r="C756" s="126"/>
    </row>
    <row r="757">
      <c r="C757" s="126"/>
    </row>
    <row r="758">
      <c r="C758" s="126"/>
    </row>
    <row r="759">
      <c r="C759" s="126"/>
    </row>
    <row r="760">
      <c r="C760" s="126"/>
    </row>
    <row r="761">
      <c r="C761" s="126"/>
    </row>
    <row r="762">
      <c r="C762" s="126"/>
    </row>
    <row r="763">
      <c r="C763" s="126"/>
    </row>
    <row r="764">
      <c r="C764" s="126"/>
    </row>
    <row r="765">
      <c r="C765" s="126"/>
    </row>
    <row r="766">
      <c r="C766" s="126"/>
    </row>
    <row r="767">
      <c r="C767" s="126"/>
    </row>
    <row r="768">
      <c r="C768" s="126"/>
    </row>
    <row r="769">
      <c r="C769" s="126"/>
    </row>
    <row r="770">
      <c r="C770" s="126"/>
    </row>
    <row r="771">
      <c r="C771" s="126"/>
    </row>
    <row r="772">
      <c r="C772" s="126"/>
    </row>
    <row r="773">
      <c r="C773" s="126"/>
    </row>
    <row r="774">
      <c r="C774" s="126"/>
    </row>
    <row r="775">
      <c r="C775" s="126"/>
    </row>
    <row r="776">
      <c r="C776" s="126"/>
    </row>
    <row r="777">
      <c r="C777" s="126"/>
    </row>
    <row r="778">
      <c r="C778" s="126"/>
    </row>
    <row r="779">
      <c r="C779" s="126"/>
    </row>
    <row r="780">
      <c r="C780" s="126"/>
    </row>
    <row r="781">
      <c r="C781" s="126"/>
    </row>
    <row r="782">
      <c r="C782" s="126"/>
    </row>
    <row r="783">
      <c r="C783" s="126"/>
    </row>
    <row r="784">
      <c r="C784" s="126"/>
    </row>
    <row r="785">
      <c r="C785" s="126"/>
    </row>
    <row r="786">
      <c r="C786" s="126"/>
    </row>
    <row r="787">
      <c r="C787" s="126"/>
    </row>
    <row r="788">
      <c r="C788" s="126"/>
    </row>
    <row r="789">
      <c r="C789" s="126"/>
    </row>
    <row r="790">
      <c r="C790" s="126"/>
    </row>
    <row r="791">
      <c r="C791" s="126"/>
    </row>
    <row r="792">
      <c r="C792" s="126"/>
    </row>
    <row r="793">
      <c r="C793" s="126"/>
    </row>
    <row r="794">
      <c r="C794" s="126"/>
    </row>
    <row r="795">
      <c r="C795" s="126"/>
    </row>
    <row r="796">
      <c r="C796" s="126"/>
    </row>
    <row r="797">
      <c r="C797" s="126"/>
    </row>
    <row r="798">
      <c r="C798" s="126"/>
    </row>
    <row r="799">
      <c r="C799" s="126"/>
    </row>
    <row r="800">
      <c r="C800" s="126"/>
    </row>
    <row r="801">
      <c r="C801" s="126"/>
    </row>
    <row r="802">
      <c r="C802" s="126"/>
    </row>
    <row r="803">
      <c r="C803" s="126"/>
    </row>
    <row r="804">
      <c r="C804" s="126"/>
    </row>
    <row r="805">
      <c r="C805" s="126"/>
    </row>
    <row r="806">
      <c r="C806" s="126"/>
    </row>
    <row r="807">
      <c r="C807" s="126"/>
    </row>
    <row r="808">
      <c r="C808" s="126"/>
    </row>
    <row r="809">
      <c r="C809" s="126"/>
    </row>
    <row r="810">
      <c r="C810" s="126"/>
    </row>
    <row r="811">
      <c r="C811" s="126"/>
    </row>
    <row r="812">
      <c r="C812" s="126"/>
    </row>
    <row r="813">
      <c r="C813" s="126"/>
    </row>
    <row r="814">
      <c r="C814" s="126"/>
    </row>
    <row r="815">
      <c r="C815" s="126"/>
    </row>
    <row r="816">
      <c r="C816" s="126"/>
    </row>
    <row r="817">
      <c r="C817" s="126"/>
    </row>
    <row r="818">
      <c r="C818" s="126"/>
    </row>
    <row r="819">
      <c r="C819" s="126"/>
    </row>
    <row r="820">
      <c r="C820" s="126"/>
    </row>
    <row r="821">
      <c r="C821" s="126"/>
    </row>
    <row r="822">
      <c r="C822" s="126"/>
    </row>
    <row r="823">
      <c r="C823" s="126"/>
    </row>
    <row r="824">
      <c r="C824" s="126"/>
    </row>
    <row r="825">
      <c r="C825" s="126"/>
    </row>
    <row r="826">
      <c r="C826" s="126"/>
    </row>
    <row r="827">
      <c r="C827" s="126"/>
    </row>
    <row r="828">
      <c r="C828" s="126"/>
    </row>
    <row r="829">
      <c r="C829" s="126"/>
    </row>
    <row r="830">
      <c r="C830" s="126"/>
    </row>
    <row r="831">
      <c r="C831" s="126"/>
    </row>
    <row r="832">
      <c r="C832" s="126"/>
    </row>
    <row r="833">
      <c r="C833" s="126"/>
    </row>
    <row r="834">
      <c r="C834" s="126"/>
    </row>
    <row r="835">
      <c r="C835" s="126"/>
    </row>
    <row r="836">
      <c r="C836" s="126"/>
    </row>
    <row r="837">
      <c r="C837" s="126"/>
    </row>
    <row r="838">
      <c r="C838" s="126"/>
    </row>
    <row r="839">
      <c r="C839" s="126"/>
    </row>
    <row r="840">
      <c r="C840" s="126"/>
    </row>
    <row r="841">
      <c r="C841" s="126"/>
    </row>
    <row r="842">
      <c r="C842" s="126"/>
    </row>
    <row r="843">
      <c r="C843" s="126"/>
    </row>
    <row r="844">
      <c r="C844" s="126"/>
    </row>
    <row r="845">
      <c r="C845" s="126"/>
    </row>
    <row r="846">
      <c r="C846" s="126"/>
    </row>
    <row r="847">
      <c r="C847" s="126"/>
    </row>
    <row r="848">
      <c r="C848" s="126"/>
    </row>
    <row r="849">
      <c r="C849" s="126"/>
    </row>
    <row r="850">
      <c r="C850" s="126"/>
    </row>
    <row r="851">
      <c r="C851" s="126"/>
    </row>
    <row r="852">
      <c r="C852" s="126"/>
    </row>
    <row r="853">
      <c r="C853" s="126"/>
    </row>
    <row r="854">
      <c r="C854" s="126"/>
    </row>
    <row r="855">
      <c r="C855" s="126"/>
    </row>
    <row r="856">
      <c r="C856" s="126"/>
    </row>
    <row r="857">
      <c r="C857" s="126"/>
    </row>
    <row r="858">
      <c r="C858" s="126"/>
    </row>
    <row r="859">
      <c r="C859" s="126"/>
    </row>
    <row r="860">
      <c r="C860" s="126"/>
    </row>
    <row r="861">
      <c r="C861" s="126"/>
    </row>
    <row r="862">
      <c r="C862" s="126"/>
    </row>
    <row r="863">
      <c r="C863" s="126"/>
    </row>
    <row r="864">
      <c r="C864" s="126"/>
    </row>
    <row r="865">
      <c r="C865" s="126"/>
    </row>
    <row r="866">
      <c r="C866" s="126"/>
    </row>
    <row r="867">
      <c r="C867" s="126"/>
    </row>
    <row r="868">
      <c r="C868" s="126"/>
    </row>
    <row r="869">
      <c r="C869" s="126"/>
    </row>
    <row r="870">
      <c r="C870" s="126"/>
    </row>
    <row r="871">
      <c r="C871" s="126"/>
    </row>
    <row r="872">
      <c r="C872" s="126"/>
    </row>
    <row r="873">
      <c r="C873" s="126"/>
    </row>
    <row r="874">
      <c r="C874" s="126"/>
    </row>
    <row r="875">
      <c r="C875" s="126"/>
    </row>
    <row r="876">
      <c r="C876" s="126"/>
    </row>
    <row r="877">
      <c r="C877" s="126"/>
    </row>
    <row r="878">
      <c r="C878" s="126"/>
    </row>
    <row r="879">
      <c r="C879" s="126"/>
    </row>
    <row r="880">
      <c r="C880" s="126"/>
    </row>
    <row r="881">
      <c r="C881" s="126"/>
    </row>
    <row r="882">
      <c r="C882" s="126"/>
    </row>
    <row r="883">
      <c r="C883" s="126"/>
    </row>
    <row r="884">
      <c r="C884" s="126"/>
    </row>
    <row r="885">
      <c r="C885" s="126"/>
    </row>
    <row r="886">
      <c r="C886" s="126"/>
    </row>
    <row r="887">
      <c r="C887" s="126"/>
    </row>
    <row r="888">
      <c r="C888" s="126"/>
    </row>
    <row r="889">
      <c r="C889" s="126"/>
    </row>
    <row r="890">
      <c r="C890" s="126"/>
    </row>
    <row r="891">
      <c r="C891" s="126"/>
    </row>
    <row r="892">
      <c r="C892" s="126"/>
    </row>
    <row r="893">
      <c r="C893" s="126"/>
    </row>
    <row r="894">
      <c r="C894" s="126"/>
    </row>
    <row r="895">
      <c r="C895" s="126"/>
    </row>
    <row r="896">
      <c r="C896" s="126"/>
    </row>
    <row r="897">
      <c r="C897" s="126"/>
    </row>
    <row r="898">
      <c r="C898" s="126"/>
    </row>
    <row r="899">
      <c r="C899" s="126"/>
    </row>
    <row r="900">
      <c r="C900" s="126"/>
    </row>
    <row r="901">
      <c r="C901" s="126"/>
    </row>
    <row r="902">
      <c r="C902" s="126"/>
    </row>
    <row r="903">
      <c r="C903" s="126"/>
    </row>
    <row r="904">
      <c r="C904" s="126"/>
    </row>
    <row r="905">
      <c r="C905" s="126"/>
    </row>
    <row r="906">
      <c r="C906" s="126"/>
    </row>
    <row r="907">
      <c r="C907" s="126"/>
    </row>
    <row r="908">
      <c r="C908" s="126"/>
    </row>
    <row r="909">
      <c r="C909" s="126"/>
    </row>
    <row r="910">
      <c r="C910" s="126"/>
    </row>
    <row r="911">
      <c r="C911" s="126"/>
    </row>
    <row r="912">
      <c r="C912" s="126"/>
    </row>
    <row r="913">
      <c r="C913" s="126"/>
    </row>
    <row r="914">
      <c r="C914" s="126"/>
    </row>
    <row r="915">
      <c r="C915" s="126"/>
    </row>
    <row r="916">
      <c r="C916" s="126"/>
    </row>
    <row r="917">
      <c r="C917" s="126"/>
    </row>
    <row r="918">
      <c r="C918" s="126"/>
    </row>
    <row r="919">
      <c r="C919" s="126"/>
    </row>
    <row r="920">
      <c r="C920" s="126"/>
    </row>
    <row r="921">
      <c r="C921" s="126"/>
    </row>
    <row r="922">
      <c r="C922" s="126"/>
    </row>
    <row r="923">
      <c r="C923" s="126"/>
    </row>
    <row r="924">
      <c r="C924" s="126"/>
    </row>
    <row r="925">
      <c r="C925" s="126"/>
    </row>
    <row r="926">
      <c r="C926" s="126"/>
    </row>
    <row r="927">
      <c r="C927" s="126"/>
    </row>
    <row r="928">
      <c r="C928" s="126"/>
    </row>
    <row r="929">
      <c r="C929" s="126"/>
    </row>
    <row r="930">
      <c r="C930" s="126"/>
    </row>
    <row r="931">
      <c r="C931" s="126"/>
    </row>
    <row r="932">
      <c r="C932" s="126"/>
    </row>
    <row r="933">
      <c r="C933" s="126"/>
    </row>
    <row r="934">
      <c r="C934" s="126"/>
    </row>
    <row r="935">
      <c r="C935" s="126"/>
    </row>
    <row r="936">
      <c r="C936" s="126"/>
    </row>
    <row r="937">
      <c r="C937" s="126"/>
    </row>
    <row r="938">
      <c r="C938" s="126"/>
    </row>
    <row r="939">
      <c r="C939" s="126"/>
    </row>
    <row r="940">
      <c r="C940" s="126"/>
    </row>
    <row r="941">
      <c r="C941" s="126"/>
    </row>
    <row r="942">
      <c r="C942" s="126"/>
    </row>
    <row r="943">
      <c r="C943" s="126"/>
    </row>
    <row r="944">
      <c r="C944" s="126"/>
    </row>
    <row r="945">
      <c r="C945" s="126"/>
    </row>
    <row r="946">
      <c r="C946" s="126"/>
    </row>
    <row r="947">
      <c r="C947" s="126"/>
    </row>
    <row r="948">
      <c r="C948" s="126"/>
    </row>
    <row r="949">
      <c r="C949" s="126"/>
    </row>
    <row r="950">
      <c r="C950" s="126"/>
    </row>
    <row r="951">
      <c r="C951" s="126"/>
    </row>
    <row r="952">
      <c r="C952" s="126"/>
    </row>
    <row r="953">
      <c r="C953" s="126"/>
    </row>
    <row r="954">
      <c r="C954" s="126"/>
    </row>
    <row r="955">
      <c r="C955" s="126"/>
    </row>
    <row r="956">
      <c r="C956" s="126"/>
    </row>
    <row r="957">
      <c r="C957" s="126"/>
    </row>
    <row r="958">
      <c r="C958" s="126"/>
    </row>
    <row r="959">
      <c r="C959" s="126"/>
    </row>
    <row r="960">
      <c r="C960" s="126"/>
    </row>
    <row r="961">
      <c r="C961" s="126"/>
    </row>
    <row r="962">
      <c r="C962" s="126"/>
    </row>
    <row r="963">
      <c r="C963" s="126"/>
    </row>
    <row r="964">
      <c r="C964" s="126"/>
    </row>
    <row r="965">
      <c r="C965" s="126"/>
    </row>
    <row r="966">
      <c r="C966" s="126"/>
    </row>
    <row r="967">
      <c r="C967" s="126"/>
    </row>
    <row r="968">
      <c r="C968" s="126"/>
    </row>
    <row r="969">
      <c r="C969" s="126"/>
    </row>
    <row r="970">
      <c r="C970" s="126"/>
    </row>
    <row r="971">
      <c r="C971" s="126"/>
    </row>
    <row r="972">
      <c r="C972" s="126"/>
    </row>
    <row r="973">
      <c r="C973" s="126"/>
    </row>
    <row r="974">
      <c r="C974" s="126"/>
    </row>
    <row r="975">
      <c r="C975" s="126"/>
    </row>
    <row r="976">
      <c r="C976" s="126"/>
    </row>
    <row r="977">
      <c r="C977" s="126"/>
    </row>
    <row r="978">
      <c r="C978" s="126"/>
    </row>
    <row r="979">
      <c r="C979" s="126"/>
    </row>
    <row r="980">
      <c r="C980" s="126"/>
    </row>
    <row r="981">
      <c r="C981" s="126"/>
    </row>
    <row r="982">
      <c r="C982" s="126"/>
    </row>
    <row r="983">
      <c r="C983" s="126"/>
    </row>
    <row r="984">
      <c r="C984" s="126"/>
    </row>
    <row r="985">
      <c r="C985" s="126"/>
    </row>
    <row r="986">
      <c r="C986" s="126"/>
    </row>
    <row r="987">
      <c r="C987" s="126"/>
    </row>
    <row r="988">
      <c r="C988" s="126"/>
    </row>
    <row r="989">
      <c r="C989" s="126"/>
    </row>
    <row r="990">
      <c r="C990" s="126"/>
    </row>
    <row r="991">
      <c r="C991" s="126"/>
    </row>
    <row r="992">
      <c r="C992" s="126"/>
    </row>
    <row r="993">
      <c r="C993" s="126"/>
    </row>
    <row r="994">
      <c r="C994" s="126"/>
    </row>
    <row r="995">
      <c r="C995" s="126"/>
    </row>
    <row r="996">
      <c r="C996" s="126"/>
    </row>
    <row r="997">
      <c r="C997" s="126"/>
    </row>
    <row r="998">
      <c r="C998" s="126"/>
    </row>
    <row r="999">
      <c r="C999" s="12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19.25"/>
    <col customWidth="1" min="3" max="3" width="31.75"/>
    <col customWidth="1" min="4" max="4" width="12.88"/>
    <col customWidth="1" min="8" max="8" width="31.5"/>
    <col customWidth="1" min="13" max="13" width="32.88"/>
    <col customWidth="1" min="14" max="14" width="11.0"/>
    <col customWidth="1" min="15" max="15" width="10.5"/>
    <col customWidth="1" min="16" max="16" width="12.75"/>
    <col customWidth="1" min="18" max="18" width="29.75"/>
    <col customWidth="1" min="23" max="23" width="31.5"/>
    <col customWidth="1" min="26" max="26" width="33.88"/>
    <col customWidth="1" min="28" max="28" width="33.38"/>
    <col customWidth="1" min="29" max="29" width="12.25"/>
    <col customWidth="1" min="30" max="30" width="10.75"/>
    <col customWidth="1" min="31" max="31" width="10.63"/>
    <col customWidth="1" min="32" max="32" width="21.63"/>
    <col customWidth="1" min="33" max="33" width="11.88"/>
    <col customWidth="1" min="34" max="34" width="31.88"/>
    <col customWidth="1" min="35" max="35" width="16.25"/>
  </cols>
  <sheetData>
    <row r="1">
      <c r="A1" s="1"/>
      <c r="H1" s="132"/>
      <c r="J1" s="133"/>
      <c r="M1" s="132"/>
      <c r="R1" s="132"/>
      <c r="W1" s="132"/>
      <c r="Z1" s="132"/>
      <c r="AA1" s="134"/>
      <c r="AB1" s="135"/>
      <c r="AF1" s="132"/>
      <c r="AG1" s="134"/>
    </row>
    <row r="2" ht="60.0" customHeight="1">
      <c r="A2" s="136" t="s">
        <v>17</v>
      </c>
      <c r="B2" s="136" t="s">
        <v>18</v>
      </c>
      <c r="C2" s="136" t="s">
        <v>19</v>
      </c>
      <c r="D2" s="137" t="s">
        <v>179</v>
      </c>
      <c r="E2" s="137" t="s">
        <v>180</v>
      </c>
      <c r="F2" s="137" t="s">
        <v>181</v>
      </c>
      <c r="G2" s="137" t="s">
        <v>182</v>
      </c>
      <c r="H2" s="138" t="s">
        <v>183</v>
      </c>
      <c r="I2" s="137" t="s">
        <v>184</v>
      </c>
      <c r="J2" s="137" t="s">
        <v>185</v>
      </c>
      <c r="K2" s="137" t="s">
        <v>186</v>
      </c>
      <c r="L2" s="137" t="s">
        <v>187</v>
      </c>
      <c r="M2" s="138" t="s">
        <v>183</v>
      </c>
      <c r="N2" s="139" t="s">
        <v>188</v>
      </c>
      <c r="O2" s="139" t="s">
        <v>189</v>
      </c>
      <c r="P2" s="139" t="s">
        <v>190</v>
      </c>
      <c r="Q2" s="140" t="s">
        <v>191</v>
      </c>
      <c r="R2" s="139" t="s">
        <v>183</v>
      </c>
      <c r="S2" s="140" t="s">
        <v>192</v>
      </c>
      <c r="T2" s="140" t="s">
        <v>193</v>
      </c>
      <c r="U2" s="140" t="s">
        <v>194</v>
      </c>
      <c r="V2" s="140" t="s">
        <v>195</v>
      </c>
      <c r="W2" s="139" t="s">
        <v>183</v>
      </c>
      <c r="X2" s="141" t="s">
        <v>196</v>
      </c>
      <c r="Y2" s="141" t="s">
        <v>197</v>
      </c>
      <c r="Z2" s="142" t="s">
        <v>183</v>
      </c>
      <c r="AA2" s="143" t="s">
        <v>198</v>
      </c>
      <c r="AB2" s="144" t="s">
        <v>199</v>
      </c>
      <c r="AC2" s="140" t="s">
        <v>200</v>
      </c>
      <c r="AD2" s="140" t="s">
        <v>201</v>
      </c>
      <c r="AE2" s="140" t="s">
        <v>202</v>
      </c>
      <c r="AF2" s="139" t="s">
        <v>183</v>
      </c>
      <c r="AG2" s="140" t="s">
        <v>203</v>
      </c>
      <c r="AH2" s="145" t="s">
        <v>183</v>
      </c>
      <c r="AI2" s="146"/>
    </row>
    <row r="3">
      <c r="A3" s="31">
        <v>1.0</v>
      </c>
      <c r="B3" s="101" t="s">
        <v>34</v>
      </c>
      <c r="C3" s="33" t="s">
        <v>35</v>
      </c>
      <c r="D3" s="147">
        <v>5.0</v>
      </c>
      <c r="E3" s="147">
        <v>5.0</v>
      </c>
      <c r="F3" s="148">
        <f t="shared" ref="F3:F41" si="1">SUM(D3:E3)</f>
        <v>10</v>
      </c>
      <c r="G3" s="149">
        <f t="shared" ref="G3:G41" si="2">F3/2</f>
        <v>5</v>
      </c>
      <c r="H3" s="150"/>
      <c r="I3" s="147">
        <v>5.0</v>
      </c>
      <c r="J3" s="147">
        <v>5.0</v>
      </c>
      <c r="K3" s="148">
        <f t="shared" ref="K3:K41" si="3">sum(I3:J3)</f>
        <v>10</v>
      </c>
      <c r="L3" s="149">
        <f t="shared" ref="L3:L41" si="4">round((K3/10)*5,2)</f>
        <v>5</v>
      </c>
      <c r="M3" s="150"/>
      <c r="N3" s="147">
        <v>8.0</v>
      </c>
      <c r="O3" s="147">
        <v>2.0</v>
      </c>
      <c r="P3" s="148">
        <f t="shared" ref="P3:P41" si="5">sum(N3:O3)</f>
        <v>10</v>
      </c>
      <c r="Q3" s="149">
        <f t="shared" ref="Q3:Q41" si="6">round((P3/10)*5,2)</f>
        <v>5</v>
      </c>
      <c r="R3" s="151"/>
      <c r="S3" s="147">
        <v>4.0</v>
      </c>
      <c r="T3" s="147">
        <v>2.0</v>
      </c>
      <c r="U3" s="148">
        <f t="shared" ref="U3:U41" si="7">sum(S3:T3)</f>
        <v>6</v>
      </c>
      <c r="V3" s="143">
        <f t="shared" ref="V3:V41" si="8">round((U3/6)*5,2)</f>
        <v>5</v>
      </c>
      <c r="W3" s="150"/>
      <c r="X3" s="147">
        <v>5.0</v>
      </c>
      <c r="Y3" s="147">
        <v>5.0</v>
      </c>
      <c r="Z3" s="150"/>
      <c r="AA3" s="143">
        <v>5.0</v>
      </c>
      <c r="AB3" s="152"/>
      <c r="AC3" s="153">
        <v>5.0</v>
      </c>
      <c r="AD3" s="153">
        <v>3.0</v>
      </c>
      <c r="AE3" s="149">
        <f t="shared" ref="AE3:AE41" si="9">round(sum(AC3:AD3)/8*5,2)</f>
        <v>5</v>
      </c>
      <c r="AF3" s="152"/>
      <c r="AG3" s="43">
        <v>5.0</v>
      </c>
      <c r="AH3" s="154"/>
    </row>
    <row r="4">
      <c r="A4" s="50">
        <v>2.0</v>
      </c>
      <c r="B4" s="94" t="s">
        <v>39</v>
      </c>
      <c r="C4" s="52" t="s">
        <v>40</v>
      </c>
      <c r="D4" s="147">
        <v>5.0</v>
      </c>
      <c r="E4" s="147">
        <v>5.0</v>
      </c>
      <c r="F4" s="148">
        <f t="shared" si="1"/>
        <v>10</v>
      </c>
      <c r="G4" s="149">
        <f t="shared" si="2"/>
        <v>5</v>
      </c>
      <c r="H4" s="150"/>
      <c r="I4" s="147">
        <v>5.0</v>
      </c>
      <c r="J4" s="147">
        <v>5.0</v>
      </c>
      <c r="K4" s="148">
        <f t="shared" si="3"/>
        <v>10</v>
      </c>
      <c r="L4" s="149">
        <f t="shared" si="4"/>
        <v>5</v>
      </c>
      <c r="M4" s="150"/>
      <c r="N4" s="147">
        <v>8.0</v>
      </c>
      <c r="O4" s="147">
        <v>1.9</v>
      </c>
      <c r="P4" s="148">
        <f t="shared" si="5"/>
        <v>9.9</v>
      </c>
      <c r="Q4" s="149">
        <f t="shared" si="6"/>
        <v>4.95</v>
      </c>
      <c r="R4" s="151" t="s">
        <v>204</v>
      </c>
      <c r="S4" s="147">
        <v>3.8</v>
      </c>
      <c r="T4" s="147">
        <v>2.0</v>
      </c>
      <c r="U4" s="148">
        <f t="shared" si="7"/>
        <v>5.8</v>
      </c>
      <c r="V4" s="143">
        <f t="shared" si="8"/>
        <v>4.83</v>
      </c>
      <c r="W4" s="151" t="s">
        <v>205</v>
      </c>
      <c r="X4" s="147">
        <v>4.85</v>
      </c>
      <c r="Y4" s="147">
        <v>4.85</v>
      </c>
      <c r="Z4" s="151" t="s">
        <v>206</v>
      </c>
      <c r="AA4" s="143">
        <v>2.35</v>
      </c>
      <c r="AB4" s="155" t="s">
        <v>207</v>
      </c>
      <c r="AC4" s="153">
        <v>5.0</v>
      </c>
      <c r="AD4" s="156"/>
      <c r="AE4" s="149">
        <f t="shared" si="9"/>
        <v>3.13</v>
      </c>
      <c r="AF4" s="157" t="s">
        <v>208</v>
      </c>
      <c r="AG4" s="43">
        <v>0.0</v>
      </c>
      <c r="AH4" s="158" t="s">
        <v>209</v>
      </c>
    </row>
    <row r="5">
      <c r="A5" s="50">
        <v>3.0</v>
      </c>
      <c r="B5" s="94" t="s">
        <v>44</v>
      </c>
      <c r="C5" s="52" t="s">
        <v>45</v>
      </c>
      <c r="D5" s="147">
        <v>5.0</v>
      </c>
      <c r="E5" s="147">
        <v>5.0</v>
      </c>
      <c r="F5" s="148">
        <f t="shared" si="1"/>
        <v>10</v>
      </c>
      <c r="G5" s="149">
        <f t="shared" si="2"/>
        <v>5</v>
      </c>
      <c r="H5" s="150"/>
      <c r="I5" s="147">
        <v>4.85</v>
      </c>
      <c r="J5" s="147">
        <v>4.25</v>
      </c>
      <c r="K5" s="148">
        <f t="shared" si="3"/>
        <v>9.1</v>
      </c>
      <c r="L5" s="149">
        <f t="shared" si="4"/>
        <v>4.55</v>
      </c>
      <c r="M5" s="151" t="s">
        <v>210</v>
      </c>
      <c r="N5" s="147">
        <v>8.0</v>
      </c>
      <c r="O5" s="147">
        <v>2.0</v>
      </c>
      <c r="P5" s="148">
        <f t="shared" si="5"/>
        <v>10</v>
      </c>
      <c r="Q5" s="149">
        <f t="shared" si="6"/>
        <v>5</v>
      </c>
      <c r="R5" s="150"/>
      <c r="S5" s="147">
        <v>4.0</v>
      </c>
      <c r="T5" s="147">
        <v>2.0</v>
      </c>
      <c r="U5" s="148">
        <f t="shared" si="7"/>
        <v>6</v>
      </c>
      <c r="V5" s="143">
        <f t="shared" si="8"/>
        <v>5</v>
      </c>
      <c r="W5" s="150"/>
      <c r="X5" s="147">
        <v>4.3</v>
      </c>
      <c r="Y5" s="147">
        <v>4.3</v>
      </c>
      <c r="Z5" s="151" t="s">
        <v>211</v>
      </c>
      <c r="AA5" s="143">
        <v>4.85</v>
      </c>
      <c r="AB5" s="159" t="s">
        <v>207</v>
      </c>
      <c r="AC5" s="153">
        <v>5.0</v>
      </c>
      <c r="AD5" s="153">
        <v>3.0</v>
      </c>
      <c r="AE5" s="149">
        <f t="shared" si="9"/>
        <v>5</v>
      </c>
      <c r="AF5" s="152"/>
      <c r="AG5" s="43">
        <v>2.5</v>
      </c>
      <c r="AH5" s="158" t="s">
        <v>212</v>
      </c>
    </row>
    <row r="6">
      <c r="A6" s="50">
        <v>4.0</v>
      </c>
      <c r="B6" s="94" t="s">
        <v>48</v>
      </c>
      <c r="C6" s="52" t="s">
        <v>49</v>
      </c>
      <c r="D6" s="147">
        <v>3.5</v>
      </c>
      <c r="E6" s="147">
        <v>5.0</v>
      </c>
      <c r="F6" s="148">
        <f t="shared" si="1"/>
        <v>8.5</v>
      </c>
      <c r="G6" s="149">
        <f t="shared" si="2"/>
        <v>4.25</v>
      </c>
      <c r="H6" s="150"/>
      <c r="I6" s="147">
        <v>5.0</v>
      </c>
      <c r="J6" s="147">
        <v>5.0</v>
      </c>
      <c r="K6" s="148">
        <f t="shared" si="3"/>
        <v>10</v>
      </c>
      <c r="L6" s="149">
        <f t="shared" si="4"/>
        <v>5</v>
      </c>
      <c r="M6" s="150"/>
      <c r="N6" s="147">
        <v>7.0</v>
      </c>
      <c r="O6" s="147">
        <v>1.4</v>
      </c>
      <c r="P6" s="148">
        <f t="shared" si="5"/>
        <v>8.4</v>
      </c>
      <c r="Q6" s="149">
        <f t="shared" si="6"/>
        <v>4.2</v>
      </c>
      <c r="R6" s="151" t="s">
        <v>213</v>
      </c>
      <c r="S6" s="148"/>
      <c r="T6" s="148"/>
      <c r="U6" s="148">
        <f t="shared" si="7"/>
        <v>0</v>
      </c>
      <c r="V6" s="143">
        <f t="shared" si="8"/>
        <v>0</v>
      </c>
      <c r="W6" s="151" t="s">
        <v>214</v>
      </c>
      <c r="X6" s="147">
        <v>4.5</v>
      </c>
      <c r="Y6" s="147">
        <v>4.5</v>
      </c>
      <c r="Z6" s="151" t="s">
        <v>215</v>
      </c>
      <c r="AA6" s="143">
        <v>2.35</v>
      </c>
      <c r="AB6" s="155" t="s">
        <v>216</v>
      </c>
      <c r="AC6" s="156"/>
      <c r="AD6" s="156"/>
      <c r="AE6" s="149">
        <f t="shared" si="9"/>
        <v>0</v>
      </c>
      <c r="AF6" s="157" t="s">
        <v>217</v>
      </c>
      <c r="AG6" s="43">
        <v>0.0</v>
      </c>
      <c r="AH6" s="154"/>
    </row>
    <row r="7">
      <c r="A7" s="50">
        <v>5.0</v>
      </c>
      <c r="B7" s="94" t="s">
        <v>52</v>
      </c>
      <c r="C7" s="52" t="s">
        <v>53</v>
      </c>
      <c r="D7" s="147">
        <v>5.0</v>
      </c>
      <c r="E7" s="147">
        <v>5.0</v>
      </c>
      <c r="F7" s="148">
        <f t="shared" si="1"/>
        <v>10</v>
      </c>
      <c r="G7" s="149">
        <f t="shared" si="2"/>
        <v>5</v>
      </c>
      <c r="H7" s="150"/>
      <c r="I7" s="147">
        <v>5.0</v>
      </c>
      <c r="J7" s="147">
        <v>4.85</v>
      </c>
      <c r="K7" s="148">
        <f t="shared" si="3"/>
        <v>9.85</v>
      </c>
      <c r="L7" s="149">
        <f t="shared" si="4"/>
        <v>4.93</v>
      </c>
      <c r="M7" s="151" t="s">
        <v>218</v>
      </c>
      <c r="N7" s="147">
        <v>6.0</v>
      </c>
      <c r="O7" s="147">
        <v>2.0</v>
      </c>
      <c r="P7" s="148">
        <f t="shared" si="5"/>
        <v>8</v>
      </c>
      <c r="Q7" s="149">
        <f t="shared" si="6"/>
        <v>4</v>
      </c>
      <c r="R7" s="151" t="s">
        <v>219</v>
      </c>
      <c r="S7" s="148"/>
      <c r="T7" s="147">
        <v>2.0</v>
      </c>
      <c r="U7" s="148">
        <f t="shared" si="7"/>
        <v>2</v>
      </c>
      <c r="V7" s="143">
        <f t="shared" si="8"/>
        <v>1.67</v>
      </c>
      <c r="W7" s="151" t="s">
        <v>220</v>
      </c>
      <c r="X7" s="147">
        <v>3.58</v>
      </c>
      <c r="Y7" s="147">
        <v>3.58</v>
      </c>
      <c r="Z7" s="151" t="s">
        <v>221</v>
      </c>
      <c r="AA7" s="143">
        <v>0.0</v>
      </c>
      <c r="AB7" s="160"/>
      <c r="AC7" s="156"/>
      <c r="AD7" s="156"/>
      <c r="AE7" s="149">
        <f t="shared" si="9"/>
        <v>0</v>
      </c>
      <c r="AF7" s="157" t="s">
        <v>217</v>
      </c>
      <c r="AG7" s="43">
        <v>0.0</v>
      </c>
      <c r="AH7" s="154"/>
    </row>
    <row r="8">
      <c r="A8" s="50">
        <v>6.0</v>
      </c>
      <c r="B8" s="94" t="s">
        <v>56</v>
      </c>
      <c r="C8" s="52" t="s">
        <v>57</v>
      </c>
      <c r="D8" s="147">
        <v>4.9</v>
      </c>
      <c r="E8" s="148"/>
      <c r="F8" s="148">
        <f t="shared" si="1"/>
        <v>4.9</v>
      </c>
      <c r="G8" s="149">
        <f t="shared" si="2"/>
        <v>2.45</v>
      </c>
      <c r="H8" s="151" t="s">
        <v>208</v>
      </c>
      <c r="I8" s="147">
        <v>4.85</v>
      </c>
      <c r="J8" s="147">
        <v>5.0</v>
      </c>
      <c r="K8" s="148">
        <f t="shared" si="3"/>
        <v>9.85</v>
      </c>
      <c r="L8" s="149">
        <f t="shared" si="4"/>
        <v>4.93</v>
      </c>
      <c r="M8" s="151" t="s">
        <v>222</v>
      </c>
      <c r="N8" s="147">
        <v>0.0</v>
      </c>
      <c r="O8" s="147">
        <v>2.0</v>
      </c>
      <c r="P8" s="148">
        <f t="shared" si="5"/>
        <v>2</v>
      </c>
      <c r="Q8" s="149">
        <f t="shared" si="6"/>
        <v>1</v>
      </c>
      <c r="R8" s="151" t="s">
        <v>223</v>
      </c>
      <c r="S8" s="148"/>
      <c r="T8" s="147">
        <v>1.0</v>
      </c>
      <c r="U8" s="148">
        <f t="shared" si="7"/>
        <v>1</v>
      </c>
      <c r="V8" s="143">
        <f t="shared" si="8"/>
        <v>0.83</v>
      </c>
      <c r="W8" s="151" t="s">
        <v>220</v>
      </c>
      <c r="X8" s="147">
        <v>0.0</v>
      </c>
      <c r="Y8" s="147">
        <v>0.0</v>
      </c>
      <c r="Z8" s="151" t="s">
        <v>224</v>
      </c>
      <c r="AA8" s="143">
        <v>1.25</v>
      </c>
      <c r="AB8" s="155" t="s">
        <v>225</v>
      </c>
      <c r="AC8" s="156"/>
      <c r="AD8" s="153">
        <v>2.7</v>
      </c>
      <c r="AE8" s="149">
        <f t="shared" si="9"/>
        <v>1.69</v>
      </c>
      <c r="AF8" s="157" t="s">
        <v>220</v>
      </c>
      <c r="AG8" s="43">
        <v>2.5</v>
      </c>
      <c r="AH8" s="158" t="s">
        <v>226</v>
      </c>
    </row>
    <row r="9">
      <c r="A9" s="50">
        <v>7.0</v>
      </c>
      <c r="B9" s="94" t="s">
        <v>61</v>
      </c>
      <c r="C9" s="52" t="s">
        <v>62</v>
      </c>
      <c r="D9" s="147">
        <v>5.0</v>
      </c>
      <c r="E9" s="147">
        <v>5.0</v>
      </c>
      <c r="F9" s="148">
        <f t="shared" si="1"/>
        <v>10</v>
      </c>
      <c r="G9" s="149">
        <f t="shared" si="2"/>
        <v>5</v>
      </c>
      <c r="H9" s="150"/>
      <c r="I9" s="147">
        <v>5.0</v>
      </c>
      <c r="J9" s="147">
        <v>5.0</v>
      </c>
      <c r="K9" s="148">
        <f t="shared" si="3"/>
        <v>10</v>
      </c>
      <c r="L9" s="149">
        <f t="shared" si="4"/>
        <v>5</v>
      </c>
      <c r="M9" s="150"/>
      <c r="N9" s="147">
        <v>7.5</v>
      </c>
      <c r="O9" s="147">
        <v>1.0</v>
      </c>
      <c r="P9" s="148">
        <f t="shared" si="5"/>
        <v>8.5</v>
      </c>
      <c r="Q9" s="149">
        <f t="shared" si="6"/>
        <v>4.25</v>
      </c>
      <c r="R9" s="151" t="s">
        <v>227</v>
      </c>
      <c r="S9" s="147">
        <v>3.5</v>
      </c>
      <c r="T9" s="147">
        <v>2.0</v>
      </c>
      <c r="U9" s="148">
        <f t="shared" si="7"/>
        <v>5.5</v>
      </c>
      <c r="V9" s="143">
        <f t="shared" si="8"/>
        <v>4.58</v>
      </c>
      <c r="W9" s="151" t="s">
        <v>228</v>
      </c>
      <c r="X9" s="147">
        <v>0.0</v>
      </c>
      <c r="Y9" s="147">
        <v>0.0</v>
      </c>
      <c r="Z9" s="151" t="s">
        <v>224</v>
      </c>
      <c r="AA9" s="143">
        <v>2.25</v>
      </c>
      <c r="AB9" s="155" t="s">
        <v>229</v>
      </c>
      <c r="AC9" s="156"/>
      <c r="AD9" s="153">
        <v>3.0</v>
      </c>
      <c r="AE9" s="149">
        <f t="shared" si="9"/>
        <v>1.88</v>
      </c>
      <c r="AF9" s="157" t="s">
        <v>220</v>
      </c>
      <c r="AG9" s="43">
        <v>2.5</v>
      </c>
      <c r="AH9" s="158" t="s">
        <v>212</v>
      </c>
    </row>
    <row r="10">
      <c r="A10" s="50">
        <v>8.0</v>
      </c>
      <c r="B10" s="94" t="s">
        <v>66</v>
      </c>
      <c r="C10" s="52" t="s">
        <v>67</v>
      </c>
      <c r="D10" s="147">
        <v>5.0</v>
      </c>
      <c r="E10" s="147">
        <v>5.0</v>
      </c>
      <c r="F10" s="148">
        <f t="shared" si="1"/>
        <v>10</v>
      </c>
      <c r="G10" s="149">
        <f t="shared" si="2"/>
        <v>5</v>
      </c>
      <c r="H10" s="151" t="s">
        <v>230</v>
      </c>
      <c r="I10" s="147">
        <v>4.85</v>
      </c>
      <c r="J10" s="147">
        <v>5.0</v>
      </c>
      <c r="K10" s="148">
        <f t="shared" si="3"/>
        <v>9.85</v>
      </c>
      <c r="L10" s="149">
        <f t="shared" si="4"/>
        <v>4.93</v>
      </c>
      <c r="M10" s="151" t="s">
        <v>231</v>
      </c>
      <c r="N10" s="147">
        <v>0.0</v>
      </c>
      <c r="O10" s="148"/>
      <c r="P10" s="148">
        <f t="shared" si="5"/>
        <v>0</v>
      </c>
      <c r="Q10" s="149">
        <f t="shared" si="6"/>
        <v>0</v>
      </c>
      <c r="R10" s="151" t="s">
        <v>232</v>
      </c>
      <c r="S10" s="147">
        <v>2.0</v>
      </c>
      <c r="T10" s="147">
        <v>1.8</v>
      </c>
      <c r="U10" s="148">
        <f t="shared" si="7"/>
        <v>3.8</v>
      </c>
      <c r="V10" s="143">
        <f t="shared" si="8"/>
        <v>3.17</v>
      </c>
      <c r="W10" s="151" t="s">
        <v>233</v>
      </c>
      <c r="X10" s="147">
        <v>2.5</v>
      </c>
      <c r="Y10" s="147">
        <v>2.5</v>
      </c>
      <c r="Z10" s="151" t="s">
        <v>234</v>
      </c>
      <c r="AA10" s="143">
        <v>0.75</v>
      </c>
      <c r="AB10" s="160"/>
      <c r="AC10" s="153">
        <v>4.0</v>
      </c>
      <c r="AD10" s="153">
        <v>2.9</v>
      </c>
      <c r="AE10" s="149">
        <f t="shared" si="9"/>
        <v>4.31</v>
      </c>
      <c r="AF10" s="157" t="s">
        <v>235</v>
      </c>
      <c r="AG10" s="43">
        <v>2.5</v>
      </c>
      <c r="AH10" s="158" t="s">
        <v>226</v>
      </c>
    </row>
    <row r="11">
      <c r="A11" s="50">
        <v>9.0</v>
      </c>
      <c r="B11" s="94" t="s">
        <v>70</v>
      </c>
      <c r="C11" s="52" t="s">
        <v>71</v>
      </c>
      <c r="D11" s="147">
        <v>5.0</v>
      </c>
      <c r="E11" s="147">
        <v>4.9</v>
      </c>
      <c r="F11" s="148">
        <f t="shared" si="1"/>
        <v>9.9</v>
      </c>
      <c r="G11" s="149">
        <f t="shared" si="2"/>
        <v>4.95</v>
      </c>
      <c r="H11" s="151" t="s">
        <v>236</v>
      </c>
      <c r="I11" s="147">
        <v>5.0</v>
      </c>
      <c r="J11" s="147">
        <v>5.0</v>
      </c>
      <c r="K11" s="148">
        <f t="shared" si="3"/>
        <v>10</v>
      </c>
      <c r="L11" s="149">
        <f t="shared" si="4"/>
        <v>5</v>
      </c>
      <c r="M11" s="151" t="s">
        <v>237</v>
      </c>
      <c r="N11" s="147">
        <v>8.0</v>
      </c>
      <c r="O11" s="147">
        <v>2.0</v>
      </c>
      <c r="P11" s="148">
        <f t="shared" si="5"/>
        <v>10</v>
      </c>
      <c r="Q11" s="149">
        <f t="shared" si="6"/>
        <v>5</v>
      </c>
      <c r="R11" s="150"/>
      <c r="S11" s="147">
        <v>3.0</v>
      </c>
      <c r="T11" s="147">
        <v>2.0</v>
      </c>
      <c r="U11" s="148">
        <f t="shared" si="7"/>
        <v>5</v>
      </c>
      <c r="V11" s="143">
        <f t="shared" si="8"/>
        <v>4.17</v>
      </c>
      <c r="W11" s="151" t="s">
        <v>235</v>
      </c>
      <c r="X11" s="147">
        <v>5.0</v>
      </c>
      <c r="Y11" s="147">
        <v>5.0</v>
      </c>
      <c r="Z11" s="150"/>
      <c r="AA11" s="143">
        <v>4.85</v>
      </c>
      <c r="AB11" s="155" t="s">
        <v>238</v>
      </c>
      <c r="AC11" s="153">
        <v>5.0</v>
      </c>
      <c r="AD11" s="153">
        <v>3.0</v>
      </c>
      <c r="AE11" s="149">
        <f t="shared" si="9"/>
        <v>5</v>
      </c>
      <c r="AF11" s="152"/>
      <c r="AG11" s="43">
        <v>0.0</v>
      </c>
      <c r="AH11" s="158" t="s">
        <v>209</v>
      </c>
    </row>
    <row r="12">
      <c r="A12" s="50">
        <v>10.0</v>
      </c>
      <c r="B12" s="94" t="s">
        <v>74</v>
      </c>
      <c r="C12" s="52" t="s">
        <v>75</v>
      </c>
      <c r="D12" s="147">
        <v>4.9</v>
      </c>
      <c r="E12" s="147">
        <v>4.5</v>
      </c>
      <c r="F12" s="148">
        <f t="shared" si="1"/>
        <v>9.4</v>
      </c>
      <c r="G12" s="149">
        <f t="shared" si="2"/>
        <v>4.7</v>
      </c>
      <c r="H12" s="151" t="s">
        <v>239</v>
      </c>
      <c r="I12" s="147">
        <v>5.0</v>
      </c>
      <c r="J12" s="147">
        <v>5.0</v>
      </c>
      <c r="K12" s="148">
        <f t="shared" si="3"/>
        <v>10</v>
      </c>
      <c r="L12" s="149">
        <f t="shared" si="4"/>
        <v>5</v>
      </c>
      <c r="M12" s="151" t="s">
        <v>240</v>
      </c>
      <c r="N12" s="147">
        <v>7.5</v>
      </c>
      <c r="O12" s="147">
        <v>2.0</v>
      </c>
      <c r="P12" s="148">
        <f t="shared" si="5"/>
        <v>9.5</v>
      </c>
      <c r="Q12" s="149">
        <f t="shared" si="6"/>
        <v>4.75</v>
      </c>
      <c r="R12" s="151" t="s">
        <v>241</v>
      </c>
      <c r="S12" s="147">
        <v>4.0</v>
      </c>
      <c r="T12" s="147">
        <v>1.7</v>
      </c>
      <c r="U12" s="148">
        <f t="shared" si="7"/>
        <v>5.7</v>
      </c>
      <c r="V12" s="143">
        <f t="shared" si="8"/>
        <v>4.75</v>
      </c>
      <c r="W12" s="150"/>
      <c r="X12" s="147">
        <v>5.0</v>
      </c>
      <c r="Y12" s="147">
        <v>5.0</v>
      </c>
      <c r="Z12" s="150"/>
      <c r="AA12" s="143">
        <v>5.0</v>
      </c>
      <c r="AB12" s="160"/>
      <c r="AC12" s="153">
        <v>5.0</v>
      </c>
      <c r="AD12" s="153">
        <v>2.6</v>
      </c>
      <c r="AE12" s="149">
        <f t="shared" si="9"/>
        <v>4.75</v>
      </c>
      <c r="AF12" s="152"/>
      <c r="AG12" s="43">
        <v>5.0</v>
      </c>
      <c r="AH12" s="154"/>
    </row>
    <row r="13">
      <c r="A13" s="50">
        <v>11.0</v>
      </c>
      <c r="B13" s="94" t="s">
        <v>78</v>
      </c>
      <c r="C13" s="52" t="s">
        <v>79</v>
      </c>
      <c r="D13" s="147">
        <v>3.5</v>
      </c>
      <c r="E13" s="147">
        <v>4.0</v>
      </c>
      <c r="F13" s="148">
        <f t="shared" si="1"/>
        <v>7.5</v>
      </c>
      <c r="G13" s="149">
        <f t="shared" si="2"/>
        <v>3.75</v>
      </c>
      <c r="H13" s="151" t="s">
        <v>242</v>
      </c>
      <c r="I13" s="147">
        <v>5.0</v>
      </c>
      <c r="J13" s="147">
        <v>5.0</v>
      </c>
      <c r="K13" s="148">
        <f t="shared" si="3"/>
        <v>10</v>
      </c>
      <c r="L13" s="149">
        <f t="shared" si="4"/>
        <v>5</v>
      </c>
      <c r="M13" s="150"/>
      <c r="N13" s="148"/>
      <c r="O13" s="147">
        <v>2.0</v>
      </c>
      <c r="P13" s="148">
        <f t="shared" si="5"/>
        <v>2</v>
      </c>
      <c r="Q13" s="149">
        <f t="shared" si="6"/>
        <v>1</v>
      </c>
      <c r="R13" s="150"/>
      <c r="S13" s="148"/>
      <c r="T13" s="148"/>
      <c r="U13" s="148">
        <f t="shared" si="7"/>
        <v>0</v>
      </c>
      <c r="V13" s="143">
        <f t="shared" si="8"/>
        <v>0</v>
      </c>
      <c r="W13" s="151" t="s">
        <v>214</v>
      </c>
      <c r="X13" s="147">
        <v>0.0</v>
      </c>
      <c r="Y13" s="147">
        <v>0.0</v>
      </c>
      <c r="Z13" s="151" t="s">
        <v>224</v>
      </c>
      <c r="AA13" s="143">
        <v>0.0</v>
      </c>
      <c r="AB13" s="160"/>
      <c r="AC13" s="156"/>
      <c r="AD13" s="156"/>
      <c r="AE13" s="149">
        <f t="shared" si="9"/>
        <v>0</v>
      </c>
      <c r="AF13" s="157" t="s">
        <v>217</v>
      </c>
      <c r="AG13" s="43">
        <v>0.0</v>
      </c>
      <c r="AH13" s="158" t="s">
        <v>209</v>
      </c>
    </row>
    <row r="14">
      <c r="A14" s="50">
        <v>12.0</v>
      </c>
      <c r="B14" s="94" t="s">
        <v>82</v>
      </c>
      <c r="C14" s="52" t="s">
        <v>83</v>
      </c>
      <c r="D14" s="147">
        <v>4.9</v>
      </c>
      <c r="E14" s="147">
        <v>5.0</v>
      </c>
      <c r="F14" s="148">
        <f t="shared" si="1"/>
        <v>9.9</v>
      </c>
      <c r="G14" s="149">
        <f t="shared" si="2"/>
        <v>4.95</v>
      </c>
      <c r="H14" s="151" t="s">
        <v>243</v>
      </c>
      <c r="I14" s="147">
        <v>5.0</v>
      </c>
      <c r="J14" s="147">
        <v>5.0</v>
      </c>
      <c r="K14" s="148">
        <f t="shared" si="3"/>
        <v>10</v>
      </c>
      <c r="L14" s="149">
        <f t="shared" si="4"/>
        <v>5</v>
      </c>
      <c r="M14" s="151"/>
      <c r="N14" s="147">
        <v>8.0</v>
      </c>
      <c r="O14" s="147">
        <v>2.0</v>
      </c>
      <c r="P14" s="148">
        <f t="shared" si="5"/>
        <v>10</v>
      </c>
      <c r="Q14" s="149">
        <f t="shared" si="6"/>
        <v>5</v>
      </c>
      <c r="R14" s="150"/>
      <c r="S14" s="147">
        <v>4.0</v>
      </c>
      <c r="T14" s="147">
        <v>1.8</v>
      </c>
      <c r="U14" s="148">
        <f t="shared" si="7"/>
        <v>5.8</v>
      </c>
      <c r="V14" s="143">
        <f t="shared" si="8"/>
        <v>4.83</v>
      </c>
      <c r="W14" s="150"/>
      <c r="X14" s="147">
        <v>5.0</v>
      </c>
      <c r="Y14" s="147">
        <v>5.0</v>
      </c>
      <c r="Z14" s="150"/>
      <c r="AA14" s="143">
        <v>4.85</v>
      </c>
      <c r="AB14" s="155" t="s">
        <v>244</v>
      </c>
      <c r="AC14" s="153">
        <v>5.0</v>
      </c>
      <c r="AD14" s="153">
        <v>2.5</v>
      </c>
      <c r="AE14" s="149">
        <f t="shared" si="9"/>
        <v>4.69</v>
      </c>
      <c r="AF14" s="152"/>
      <c r="AG14" s="43">
        <v>5.0</v>
      </c>
      <c r="AH14" s="154"/>
    </row>
    <row r="15">
      <c r="A15" s="50">
        <v>13.0</v>
      </c>
      <c r="B15" s="94" t="s">
        <v>87</v>
      </c>
      <c r="C15" s="52" t="s">
        <v>88</v>
      </c>
      <c r="D15" s="147">
        <v>3.5</v>
      </c>
      <c r="E15" s="147">
        <v>5.0</v>
      </c>
      <c r="F15" s="148">
        <f t="shared" si="1"/>
        <v>8.5</v>
      </c>
      <c r="G15" s="149">
        <f t="shared" si="2"/>
        <v>4.25</v>
      </c>
      <c r="H15" s="150"/>
      <c r="I15" s="147">
        <v>5.0</v>
      </c>
      <c r="J15" s="147">
        <v>5.0</v>
      </c>
      <c r="K15" s="148">
        <f t="shared" si="3"/>
        <v>10</v>
      </c>
      <c r="L15" s="149">
        <f t="shared" si="4"/>
        <v>5</v>
      </c>
      <c r="M15" s="150"/>
      <c r="N15" s="147">
        <v>8.0</v>
      </c>
      <c r="O15" s="147">
        <v>1.9</v>
      </c>
      <c r="P15" s="148">
        <f t="shared" si="5"/>
        <v>9.9</v>
      </c>
      <c r="Q15" s="149">
        <f t="shared" si="6"/>
        <v>4.95</v>
      </c>
      <c r="R15" s="151" t="s">
        <v>204</v>
      </c>
      <c r="S15" s="147">
        <v>0.0</v>
      </c>
      <c r="T15" s="147">
        <v>2.0</v>
      </c>
      <c r="U15" s="148">
        <f t="shared" si="7"/>
        <v>2</v>
      </c>
      <c r="V15" s="143">
        <f t="shared" si="8"/>
        <v>1.67</v>
      </c>
      <c r="W15" s="151" t="s">
        <v>245</v>
      </c>
      <c r="X15" s="147">
        <v>5.0</v>
      </c>
      <c r="Y15" s="147">
        <v>5.0</v>
      </c>
      <c r="Z15" s="150"/>
      <c r="AA15" s="143">
        <v>3.225</v>
      </c>
      <c r="AB15" s="155" t="s">
        <v>246</v>
      </c>
      <c r="AC15" s="153">
        <v>5.0</v>
      </c>
      <c r="AD15" s="153">
        <v>0.6</v>
      </c>
      <c r="AE15" s="149">
        <f t="shared" si="9"/>
        <v>3.5</v>
      </c>
      <c r="AF15" s="152"/>
      <c r="AG15" s="43">
        <v>5.0</v>
      </c>
      <c r="AH15" s="154"/>
    </row>
    <row r="16">
      <c r="A16" s="50">
        <v>14.0</v>
      </c>
      <c r="B16" s="94" t="s">
        <v>91</v>
      </c>
      <c r="C16" s="52" t="s">
        <v>92</v>
      </c>
      <c r="D16" s="147">
        <v>4.9</v>
      </c>
      <c r="E16" s="147">
        <v>5.0</v>
      </c>
      <c r="F16" s="148">
        <f t="shared" si="1"/>
        <v>9.9</v>
      </c>
      <c r="G16" s="149">
        <f t="shared" si="2"/>
        <v>4.95</v>
      </c>
      <c r="H16" s="150"/>
      <c r="I16" s="147">
        <v>0.0</v>
      </c>
      <c r="J16" s="147">
        <v>3.75</v>
      </c>
      <c r="K16" s="148">
        <f t="shared" si="3"/>
        <v>3.75</v>
      </c>
      <c r="L16" s="149">
        <f t="shared" si="4"/>
        <v>1.88</v>
      </c>
      <c r="M16" s="151" t="s">
        <v>247</v>
      </c>
      <c r="N16" s="147">
        <v>0.0</v>
      </c>
      <c r="O16" s="147">
        <v>0.2</v>
      </c>
      <c r="P16" s="148">
        <f t="shared" si="5"/>
        <v>0.2</v>
      </c>
      <c r="Q16" s="149">
        <f t="shared" si="6"/>
        <v>0.1</v>
      </c>
      <c r="R16" s="151" t="s">
        <v>248</v>
      </c>
      <c r="S16" s="147">
        <v>4.0</v>
      </c>
      <c r="T16" s="147">
        <v>2.0</v>
      </c>
      <c r="U16" s="148">
        <f t="shared" si="7"/>
        <v>6</v>
      </c>
      <c r="V16" s="143">
        <f t="shared" si="8"/>
        <v>5</v>
      </c>
      <c r="W16" s="150"/>
      <c r="X16" s="147">
        <v>5.0</v>
      </c>
      <c r="Y16" s="147">
        <v>5.0</v>
      </c>
      <c r="Z16" s="151"/>
      <c r="AA16" s="143">
        <v>4.5</v>
      </c>
      <c r="AB16" s="160"/>
      <c r="AC16" s="153">
        <v>4.0</v>
      </c>
      <c r="AD16" s="153">
        <v>0.7</v>
      </c>
      <c r="AE16" s="149">
        <f t="shared" si="9"/>
        <v>2.94</v>
      </c>
      <c r="AF16" s="157" t="s">
        <v>235</v>
      </c>
      <c r="AG16" s="43">
        <v>2.5</v>
      </c>
      <c r="AH16" s="158" t="s">
        <v>212</v>
      </c>
    </row>
    <row r="17">
      <c r="A17" s="50">
        <v>15.0</v>
      </c>
      <c r="B17" s="94" t="s">
        <v>95</v>
      </c>
      <c r="C17" s="52" t="s">
        <v>96</v>
      </c>
      <c r="D17" s="147">
        <v>4.5</v>
      </c>
      <c r="E17" s="147">
        <v>5.0</v>
      </c>
      <c r="F17" s="148">
        <f t="shared" si="1"/>
        <v>9.5</v>
      </c>
      <c r="G17" s="149">
        <f t="shared" si="2"/>
        <v>4.75</v>
      </c>
      <c r="H17" s="150"/>
      <c r="I17" s="147">
        <v>5.0</v>
      </c>
      <c r="J17" s="147">
        <v>5.0</v>
      </c>
      <c r="K17" s="148">
        <f t="shared" si="3"/>
        <v>10</v>
      </c>
      <c r="L17" s="149">
        <f t="shared" si="4"/>
        <v>5</v>
      </c>
      <c r="M17" s="150"/>
      <c r="N17" s="147">
        <v>8.0</v>
      </c>
      <c r="O17" s="147">
        <v>1.4</v>
      </c>
      <c r="P17" s="148">
        <f t="shared" si="5"/>
        <v>9.4</v>
      </c>
      <c r="Q17" s="149">
        <f t="shared" si="6"/>
        <v>4.7</v>
      </c>
      <c r="R17" s="151" t="s">
        <v>249</v>
      </c>
      <c r="S17" s="147">
        <v>3.0</v>
      </c>
      <c r="T17" s="147">
        <v>1.8</v>
      </c>
      <c r="U17" s="148">
        <f t="shared" si="7"/>
        <v>4.8</v>
      </c>
      <c r="V17" s="143">
        <f t="shared" si="8"/>
        <v>4</v>
      </c>
      <c r="W17" s="151" t="s">
        <v>235</v>
      </c>
      <c r="X17" s="147">
        <v>5.0</v>
      </c>
      <c r="Y17" s="147">
        <v>5.0</v>
      </c>
      <c r="Z17" s="150"/>
      <c r="AA17" s="143">
        <v>4.75</v>
      </c>
      <c r="AB17" s="155" t="s">
        <v>250</v>
      </c>
      <c r="AC17" s="153">
        <v>5.0</v>
      </c>
      <c r="AD17" s="153">
        <v>3.0</v>
      </c>
      <c r="AE17" s="149">
        <f t="shared" si="9"/>
        <v>5</v>
      </c>
      <c r="AF17" s="157"/>
      <c r="AG17" s="43">
        <v>5.0</v>
      </c>
      <c r="AH17" s="154"/>
    </row>
    <row r="18">
      <c r="A18" s="50">
        <v>16.0</v>
      </c>
      <c r="B18" s="94" t="s">
        <v>100</v>
      </c>
      <c r="C18" s="52" t="s">
        <v>101</v>
      </c>
      <c r="D18" s="147">
        <v>4.9</v>
      </c>
      <c r="E18" s="147">
        <v>5.0</v>
      </c>
      <c r="F18" s="148">
        <f t="shared" si="1"/>
        <v>9.9</v>
      </c>
      <c r="G18" s="149">
        <f t="shared" si="2"/>
        <v>4.95</v>
      </c>
      <c r="H18" s="150"/>
      <c r="I18" s="147">
        <v>5.0</v>
      </c>
      <c r="J18" s="147">
        <v>5.0</v>
      </c>
      <c r="K18" s="148">
        <f t="shared" si="3"/>
        <v>10</v>
      </c>
      <c r="L18" s="149">
        <f t="shared" si="4"/>
        <v>5</v>
      </c>
      <c r="M18" s="150"/>
      <c r="N18" s="147">
        <v>8.0</v>
      </c>
      <c r="O18" s="147">
        <v>1.4</v>
      </c>
      <c r="P18" s="148">
        <f t="shared" si="5"/>
        <v>9.4</v>
      </c>
      <c r="Q18" s="149">
        <f t="shared" si="6"/>
        <v>4.7</v>
      </c>
      <c r="R18" s="151" t="s">
        <v>249</v>
      </c>
      <c r="S18" s="147">
        <v>3.0</v>
      </c>
      <c r="T18" s="147">
        <v>2.0</v>
      </c>
      <c r="U18" s="148">
        <f t="shared" si="7"/>
        <v>5</v>
      </c>
      <c r="V18" s="143">
        <f t="shared" si="8"/>
        <v>4.17</v>
      </c>
      <c r="W18" s="151" t="s">
        <v>235</v>
      </c>
      <c r="X18" s="147">
        <v>5.0</v>
      </c>
      <c r="Y18" s="147">
        <v>5.0</v>
      </c>
      <c r="Z18" s="150"/>
      <c r="AA18" s="143">
        <v>5.0</v>
      </c>
      <c r="AB18" s="160"/>
      <c r="AC18" s="153">
        <v>5.0</v>
      </c>
      <c r="AD18" s="153">
        <v>3.0</v>
      </c>
      <c r="AE18" s="149">
        <f t="shared" si="9"/>
        <v>5</v>
      </c>
      <c r="AF18" s="152"/>
      <c r="AG18" s="43">
        <v>5.0</v>
      </c>
      <c r="AH18" s="154"/>
    </row>
    <row r="19">
      <c r="A19" s="50">
        <v>17.0</v>
      </c>
      <c r="B19" s="94" t="s">
        <v>104</v>
      </c>
      <c r="C19" s="52" t="s">
        <v>105</v>
      </c>
      <c r="D19" s="147">
        <v>5.0</v>
      </c>
      <c r="E19" s="147">
        <v>5.0</v>
      </c>
      <c r="F19" s="148">
        <f t="shared" si="1"/>
        <v>10</v>
      </c>
      <c r="G19" s="149">
        <f t="shared" si="2"/>
        <v>5</v>
      </c>
      <c r="H19" s="150"/>
      <c r="I19" s="147">
        <v>5.0</v>
      </c>
      <c r="J19" s="147">
        <v>5.0</v>
      </c>
      <c r="K19" s="148">
        <f t="shared" si="3"/>
        <v>10</v>
      </c>
      <c r="L19" s="149">
        <f t="shared" si="4"/>
        <v>5</v>
      </c>
      <c r="M19" s="150"/>
      <c r="N19" s="147">
        <v>8.0</v>
      </c>
      <c r="O19" s="147">
        <v>2.0</v>
      </c>
      <c r="P19" s="148">
        <f t="shared" si="5"/>
        <v>10</v>
      </c>
      <c r="Q19" s="149">
        <f t="shared" si="6"/>
        <v>5</v>
      </c>
      <c r="R19" s="151" t="s">
        <v>251</v>
      </c>
      <c r="S19" s="147">
        <v>4.0</v>
      </c>
      <c r="T19" s="147">
        <v>2.0</v>
      </c>
      <c r="U19" s="148">
        <f t="shared" si="7"/>
        <v>6</v>
      </c>
      <c r="V19" s="143">
        <f t="shared" si="8"/>
        <v>5</v>
      </c>
      <c r="W19" s="150"/>
      <c r="X19" s="147">
        <v>5.0</v>
      </c>
      <c r="Y19" s="147">
        <v>5.0</v>
      </c>
      <c r="Z19" s="150"/>
      <c r="AA19" s="143">
        <v>4.6</v>
      </c>
      <c r="AB19" s="155" t="s">
        <v>252</v>
      </c>
      <c r="AC19" s="153">
        <v>5.0</v>
      </c>
      <c r="AD19" s="153">
        <v>2.9</v>
      </c>
      <c r="AE19" s="149">
        <f t="shared" si="9"/>
        <v>4.94</v>
      </c>
      <c r="AF19" s="152"/>
      <c r="AG19" s="43">
        <v>5.0</v>
      </c>
      <c r="AH19" s="154"/>
    </row>
    <row r="20">
      <c r="A20" s="50">
        <v>18.0</v>
      </c>
      <c r="B20" s="94" t="s">
        <v>108</v>
      </c>
      <c r="C20" s="52" t="s">
        <v>109</v>
      </c>
      <c r="D20" s="147">
        <v>5.0</v>
      </c>
      <c r="E20" s="147">
        <v>5.0</v>
      </c>
      <c r="F20" s="148">
        <f t="shared" si="1"/>
        <v>10</v>
      </c>
      <c r="G20" s="149">
        <f t="shared" si="2"/>
        <v>5</v>
      </c>
      <c r="H20" s="150"/>
      <c r="I20" s="147">
        <v>5.0</v>
      </c>
      <c r="J20" s="147">
        <v>5.0</v>
      </c>
      <c r="K20" s="148">
        <f t="shared" si="3"/>
        <v>10</v>
      </c>
      <c r="L20" s="149">
        <f t="shared" si="4"/>
        <v>5</v>
      </c>
      <c r="M20" s="150"/>
      <c r="N20" s="147">
        <v>8.0</v>
      </c>
      <c r="O20" s="147">
        <v>2.0</v>
      </c>
      <c r="P20" s="148">
        <f t="shared" si="5"/>
        <v>10</v>
      </c>
      <c r="Q20" s="149">
        <f t="shared" si="6"/>
        <v>5</v>
      </c>
      <c r="R20" s="150"/>
      <c r="S20" s="147">
        <v>4.0</v>
      </c>
      <c r="T20" s="147">
        <v>2.0</v>
      </c>
      <c r="U20" s="148">
        <f t="shared" si="7"/>
        <v>6</v>
      </c>
      <c r="V20" s="143">
        <f t="shared" si="8"/>
        <v>5</v>
      </c>
      <c r="W20" s="150"/>
      <c r="X20" s="147">
        <v>5.0</v>
      </c>
      <c r="Y20" s="147">
        <v>5.0</v>
      </c>
      <c r="Z20" s="150"/>
      <c r="AA20" s="143">
        <v>4.85</v>
      </c>
      <c r="AB20" s="155" t="s">
        <v>253</v>
      </c>
      <c r="AC20" s="153">
        <v>5.0</v>
      </c>
      <c r="AD20" s="153">
        <v>3.0</v>
      </c>
      <c r="AE20" s="149">
        <f t="shared" si="9"/>
        <v>5</v>
      </c>
      <c r="AF20" s="152"/>
      <c r="AG20" s="43">
        <v>5.0</v>
      </c>
      <c r="AH20" s="154"/>
    </row>
    <row r="21">
      <c r="A21" s="50">
        <v>19.0</v>
      </c>
      <c r="B21" s="94" t="s">
        <v>111</v>
      </c>
      <c r="C21" s="52" t="s">
        <v>112</v>
      </c>
      <c r="D21" s="147">
        <v>4.9</v>
      </c>
      <c r="E21" s="147">
        <v>4.8</v>
      </c>
      <c r="F21" s="148">
        <f t="shared" si="1"/>
        <v>9.7</v>
      </c>
      <c r="G21" s="149">
        <f t="shared" si="2"/>
        <v>4.85</v>
      </c>
      <c r="H21" s="151" t="s">
        <v>254</v>
      </c>
      <c r="I21" s="147">
        <v>4.85</v>
      </c>
      <c r="J21" s="147">
        <v>5.0</v>
      </c>
      <c r="K21" s="148">
        <f t="shared" si="3"/>
        <v>9.85</v>
      </c>
      <c r="L21" s="149">
        <f t="shared" si="4"/>
        <v>4.93</v>
      </c>
      <c r="M21" s="150"/>
      <c r="N21" s="147">
        <v>6.5</v>
      </c>
      <c r="O21" s="147">
        <v>2.0</v>
      </c>
      <c r="P21" s="148">
        <f t="shared" si="5"/>
        <v>8.5</v>
      </c>
      <c r="Q21" s="149">
        <f t="shared" si="6"/>
        <v>4.25</v>
      </c>
      <c r="R21" s="151" t="s">
        <v>255</v>
      </c>
      <c r="S21" s="148"/>
      <c r="T21" s="147">
        <v>2.0</v>
      </c>
      <c r="U21" s="148">
        <f t="shared" si="7"/>
        <v>2</v>
      </c>
      <c r="V21" s="143">
        <f t="shared" si="8"/>
        <v>1.67</v>
      </c>
      <c r="W21" s="151" t="s">
        <v>220</v>
      </c>
      <c r="X21" s="147">
        <v>0.0</v>
      </c>
      <c r="Y21" s="147">
        <v>0.0</v>
      </c>
      <c r="Z21" s="151" t="s">
        <v>224</v>
      </c>
      <c r="AA21" s="143">
        <v>2.5</v>
      </c>
      <c r="AB21" s="160"/>
      <c r="AC21" s="153">
        <v>5.0</v>
      </c>
      <c r="AD21" s="153">
        <v>2.7</v>
      </c>
      <c r="AE21" s="149">
        <f t="shared" si="9"/>
        <v>4.81</v>
      </c>
      <c r="AF21" s="152"/>
      <c r="AG21" s="43">
        <v>2.5</v>
      </c>
      <c r="AH21" s="158" t="s">
        <v>226</v>
      </c>
    </row>
    <row r="22">
      <c r="A22" s="50">
        <v>20.0</v>
      </c>
      <c r="B22" s="94" t="s">
        <v>115</v>
      </c>
      <c r="C22" s="52" t="s">
        <v>116</v>
      </c>
      <c r="D22" s="147">
        <v>4.9</v>
      </c>
      <c r="E22" s="147">
        <v>5.0</v>
      </c>
      <c r="F22" s="148">
        <f t="shared" si="1"/>
        <v>9.9</v>
      </c>
      <c r="G22" s="149">
        <f t="shared" si="2"/>
        <v>4.95</v>
      </c>
      <c r="H22" s="150"/>
      <c r="I22" s="147">
        <v>5.0</v>
      </c>
      <c r="J22" s="147">
        <v>4.85</v>
      </c>
      <c r="K22" s="148">
        <f t="shared" si="3"/>
        <v>9.85</v>
      </c>
      <c r="L22" s="149">
        <f t="shared" si="4"/>
        <v>4.93</v>
      </c>
      <c r="M22" s="151" t="s">
        <v>256</v>
      </c>
      <c r="N22" s="147">
        <v>6.0</v>
      </c>
      <c r="O22" s="147">
        <v>2.0</v>
      </c>
      <c r="P22" s="148">
        <f t="shared" si="5"/>
        <v>8</v>
      </c>
      <c r="Q22" s="149">
        <f t="shared" si="6"/>
        <v>4</v>
      </c>
      <c r="R22" s="151" t="s">
        <v>257</v>
      </c>
      <c r="S22" s="147">
        <v>4.0</v>
      </c>
      <c r="T22" s="147">
        <v>2.0</v>
      </c>
      <c r="U22" s="148">
        <f t="shared" si="7"/>
        <v>6</v>
      </c>
      <c r="V22" s="143">
        <f t="shared" si="8"/>
        <v>5</v>
      </c>
      <c r="W22" s="150"/>
      <c r="X22" s="147">
        <v>4.4</v>
      </c>
      <c r="Y22" s="147">
        <v>4.4</v>
      </c>
      <c r="Z22" s="151" t="s">
        <v>258</v>
      </c>
      <c r="AA22" s="143">
        <v>2.5</v>
      </c>
      <c r="AB22" s="160"/>
      <c r="AC22" s="153">
        <v>3.0</v>
      </c>
      <c r="AD22" s="153">
        <v>3.0</v>
      </c>
      <c r="AE22" s="149">
        <f t="shared" si="9"/>
        <v>3.75</v>
      </c>
      <c r="AF22" s="157" t="s">
        <v>259</v>
      </c>
      <c r="AG22" s="97">
        <v>4.5</v>
      </c>
      <c r="AH22" s="158" t="s">
        <v>260</v>
      </c>
    </row>
    <row r="23">
      <c r="A23" s="50">
        <v>21.0</v>
      </c>
      <c r="B23" s="94" t="s">
        <v>118</v>
      </c>
      <c r="C23" s="52" t="s">
        <v>119</v>
      </c>
      <c r="D23" s="147">
        <v>4.9</v>
      </c>
      <c r="E23" s="147">
        <v>5.0</v>
      </c>
      <c r="F23" s="148">
        <f t="shared" si="1"/>
        <v>9.9</v>
      </c>
      <c r="G23" s="149">
        <f t="shared" si="2"/>
        <v>4.95</v>
      </c>
      <c r="H23" s="150"/>
      <c r="I23" s="147">
        <v>5.0</v>
      </c>
      <c r="J23" s="147">
        <v>4.85</v>
      </c>
      <c r="K23" s="148">
        <f t="shared" si="3"/>
        <v>9.85</v>
      </c>
      <c r="L23" s="149">
        <f t="shared" si="4"/>
        <v>4.93</v>
      </c>
      <c r="M23" s="151" t="s">
        <v>261</v>
      </c>
      <c r="N23" s="147">
        <v>8.0</v>
      </c>
      <c r="O23" s="148"/>
      <c r="P23" s="148">
        <f t="shared" si="5"/>
        <v>8</v>
      </c>
      <c r="Q23" s="149">
        <f t="shared" si="6"/>
        <v>4</v>
      </c>
      <c r="R23" s="151" t="s">
        <v>208</v>
      </c>
      <c r="S23" s="147">
        <v>0.0</v>
      </c>
      <c r="T23" s="147">
        <v>2.0</v>
      </c>
      <c r="U23" s="148">
        <f t="shared" si="7"/>
        <v>2</v>
      </c>
      <c r="V23" s="143">
        <f t="shared" si="8"/>
        <v>1.67</v>
      </c>
      <c r="W23" s="151" t="s">
        <v>245</v>
      </c>
      <c r="X23" s="147">
        <v>4.4</v>
      </c>
      <c r="Y23" s="147">
        <v>4.4</v>
      </c>
      <c r="Z23" s="151" t="s">
        <v>211</v>
      </c>
      <c r="AA23" s="143">
        <v>4.5</v>
      </c>
      <c r="AB23" s="155" t="s">
        <v>262</v>
      </c>
      <c r="AC23" s="153">
        <v>5.0</v>
      </c>
      <c r="AD23" s="153">
        <v>2.0</v>
      </c>
      <c r="AE23" s="149">
        <f t="shared" si="9"/>
        <v>4.38</v>
      </c>
      <c r="AF23" s="152"/>
      <c r="AG23" s="43">
        <v>2.0</v>
      </c>
      <c r="AH23" s="158" t="s">
        <v>212</v>
      </c>
    </row>
    <row r="24">
      <c r="A24" s="50">
        <v>22.0</v>
      </c>
      <c r="B24" s="94" t="s">
        <v>121</v>
      </c>
      <c r="C24" s="52" t="s">
        <v>122</v>
      </c>
      <c r="D24" s="148"/>
      <c r="E24" s="147">
        <v>5.0</v>
      </c>
      <c r="F24" s="148">
        <f t="shared" si="1"/>
        <v>5</v>
      </c>
      <c r="G24" s="149">
        <f t="shared" si="2"/>
        <v>2.5</v>
      </c>
      <c r="H24" s="150"/>
      <c r="I24" s="147">
        <v>0.0</v>
      </c>
      <c r="J24" s="147">
        <v>5.0</v>
      </c>
      <c r="K24" s="148">
        <f t="shared" si="3"/>
        <v>5</v>
      </c>
      <c r="L24" s="149">
        <f t="shared" si="4"/>
        <v>2.5</v>
      </c>
      <c r="M24" s="151" t="s">
        <v>263</v>
      </c>
      <c r="N24" s="148"/>
      <c r="O24" s="148"/>
      <c r="P24" s="148">
        <f t="shared" si="5"/>
        <v>0</v>
      </c>
      <c r="Q24" s="149">
        <f t="shared" si="6"/>
        <v>0</v>
      </c>
      <c r="R24" s="151" t="s">
        <v>208</v>
      </c>
      <c r="S24" s="148"/>
      <c r="T24" s="148"/>
      <c r="U24" s="148">
        <f t="shared" si="7"/>
        <v>0</v>
      </c>
      <c r="V24" s="143">
        <f t="shared" si="8"/>
        <v>0</v>
      </c>
      <c r="W24" s="151" t="s">
        <v>214</v>
      </c>
      <c r="X24" s="147">
        <v>4.4</v>
      </c>
      <c r="Y24" s="147">
        <v>4.4</v>
      </c>
      <c r="Z24" s="151" t="s">
        <v>211</v>
      </c>
      <c r="AA24" s="143">
        <v>2.35</v>
      </c>
      <c r="AB24" s="155" t="s">
        <v>264</v>
      </c>
      <c r="AC24" s="153">
        <v>5.0</v>
      </c>
      <c r="AD24" s="156"/>
      <c r="AE24" s="149">
        <f t="shared" si="9"/>
        <v>3.13</v>
      </c>
      <c r="AF24" s="157" t="s">
        <v>208</v>
      </c>
      <c r="AG24" s="43">
        <v>2.5</v>
      </c>
      <c r="AH24" s="158" t="s">
        <v>212</v>
      </c>
    </row>
    <row r="25">
      <c r="A25" s="50">
        <v>23.0</v>
      </c>
      <c r="B25" s="94" t="s">
        <v>124</v>
      </c>
      <c r="C25" s="52" t="s">
        <v>125</v>
      </c>
      <c r="D25" s="147">
        <v>5.0</v>
      </c>
      <c r="E25" s="147">
        <v>2.5</v>
      </c>
      <c r="F25" s="148">
        <f t="shared" si="1"/>
        <v>7.5</v>
      </c>
      <c r="G25" s="149">
        <f t="shared" si="2"/>
        <v>3.75</v>
      </c>
      <c r="H25" s="151" t="s">
        <v>265</v>
      </c>
      <c r="I25" s="147">
        <v>5.0</v>
      </c>
      <c r="J25" s="147">
        <v>4.0</v>
      </c>
      <c r="K25" s="148">
        <f t="shared" si="3"/>
        <v>9</v>
      </c>
      <c r="L25" s="149">
        <f t="shared" si="4"/>
        <v>4.5</v>
      </c>
      <c r="M25" s="151" t="s">
        <v>266</v>
      </c>
      <c r="N25" s="148"/>
      <c r="O25" s="147">
        <v>2.0</v>
      </c>
      <c r="P25" s="148">
        <f t="shared" si="5"/>
        <v>2</v>
      </c>
      <c r="Q25" s="149">
        <f t="shared" si="6"/>
        <v>1</v>
      </c>
      <c r="R25" s="150"/>
      <c r="S25" s="147">
        <v>2.5</v>
      </c>
      <c r="T25" s="147">
        <v>2.0</v>
      </c>
      <c r="U25" s="148">
        <f t="shared" si="7"/>
        <v>4.5</v>
      </c>
      <c r="V25" s="143">
        <f t="shared" si="8"/>
        <v>3.75</v>
      </c>
      <c r="W25" s="151" t="s">
        <v>267</v>
      </c>
      <c r="X25" s="147">
        <v>0.0</v>
      </c>
      <c r="Y25" s="147">
        <v>0.0</v>
      </c>
      <c r="Z25" s="151" t="s">
        <v>224</v>
      </c>
      <c r="AA25" s="143">
        <v>0.0</v>
      </c>
      <c r="AB25" s="160"/>
      <c r="AC25" s="156"/>
      <c r="AD25" s="153">
        <v>2.0</v>
      </c>
      <c r="AE25" s="149">
        <f t="shared" si="9"/>
        <v>1.25</v>
      </c>
      <c r="AF25" s="157" t="s">
        <v>220</v>
      </c>
      <c r="AG25" s="43">
        <v>1.5</v>
      </c>
      <c r="AH25" s="158" t="s">
        <v>268</v>
      </c>
    </row>
    <row r="26">
      <c r="A26" s="50">
        <v>24.0</v>
      </c>
      <c r="B26" s="94" t="s">
        <v>127</v>
      </c>
      <c r="C26" s="52" t="s">
        <v>128</v>
      </c>
      <c r="D26" s="147">
        <v>3.0</v>
      </c>
      <c r="E26" s="148"/>
      <c r="F26" s="148">
        <f t="shared" si="1"/>
        <v>3</v>
      </c>
      <c r="G26" s="149">
        <f t="shared" si="2"/>
        <v>1.5</v>
      </c>
      <c r="H26" s="151" t="s">
        <v>208</v>
      </c>
      <c r="I26" s="147">
        <v>0.0</v>
      </c>
      <c r="J26" s="147">
        <v>0.0</v>
      </c>
      <c r="K26" s="148">
        <f t="shared" si="3"/>
        <v>0</v>
      </c>
      <c r="L26" s="149">
        <f t="shared" si="4"/>
        <v>0</v>
      </c>
      <c r="M26" s="151" t="s">
        <v>208</v>
      </c>
      <c r="N26" s="148"/>
      <c r="O26" s="148"/>
      <c r="P26" s="148">
        <f t="shared" si="5"/>
        <v>0</v>
      </c>
      <c r="Q26" s="149">
        <f t="shared" si="6"/>
        <v>0</v>
      </c>
      <c r="R26" s="151" t="s">
        <v>269</v>
      </c>
      <c r="S26" s="148"/>
      <c r="T26" s="148"/>
      <c r="U26" s="148">
        <f t="shared" si="7"/>
        <v>0</v>
      </c>
      <c r="V26" s="143">
        <f t="shared" si="8"/>
        <v>0</v>
      </c>
      <c r="W26" s="151" t="s">
        <v>214</v>
      </c>
      <c r="X26" s="147">
        <v>0.0</v>
      </c>
      <c r="Y26" s="147">
        <v>0.0</v>
      </c>
      <c r="Z26" s="151" t="s">
        <v>224</v>
      </c>
      <c r="AA26" s="143">
        <v>0.0</v>
      </c>
      <c r="AB26" s="160"/>
      <c r="AC26" s="156"/>
      <c r="AD26" s="156"/>
      <c r="AE26" s="149">
        <f t="shared" si="9"/>
        <v>0</v>
      </c>
      <c r="AF26" s="157" t="s">
        <v>217</v>
      </c>
      <c r="AG26" s="44"/>
      <c r="AH26" s="154"/>
    </row>
    <row r="27">
      <c r="A27" s="50">
        <v>25.0</v>
      </c>
      <c r="B27" s="94" t="s">
        <v>130</v>
      </c>
      <c r="C27" s="52" t="s">
        <v>131</v>
      </c>
      <c r="D27" s="147">
        <v>4.2</v>
      </c>
      <c r="E27" s="147">
        <v>4.5</v>
      </c>
      <c r="F27" s="148">
        <f t="shared" si="1"/>
        <v>8.7</v>
      </c>
      <c r="G27" s="149">
        <f t="shared" si="2"/>
        <v>4.35</v>
      </c>
      <c r="H27" s="151" t="s">
        <v>270</v>
      </c>
      <c r="I27" s="147">
        <v>4.85</v>
      </c>
      <c r="J27" s="147">
        <v>5.0</v>
      </c>
      <c r="K27" s="148">
        <f t="shared" si="3"/>
        <v>9.85</v>
      </c>
      <c r="L27" s="149">
        <f t="shared" si="4"/>
        <v>4.93</v>
      </c>
      <c r="M27" s="151" t="s">
        <v>271</v>
      </c>
      <c r="N27" s="147">
        <v>7.75</v>
      </c>
      <c r="O27" s="147">
        <v>1.9</v>
      </c>
      <c r="P27" s="148">
        <f t="shared" si="5"/>
        <v>9.65</v>
      </c>
      <c r="Q27" s="149">
        <f t="shared" si="6"/>
        <v>4.83</v>
      </c>
      <c r="R27" s="151" t="s">
        <v>272</v>
      </c>
      <c r="S27" s="147">
        <v>4.0</v>
      </c>
      <c r="T27" s="147">
        <v>2.0</v>
      </c>
      <c r="U27" s="148">
        <f t="shared" si="7"/>
        <v>6</v>
      </c>
      <c r="V27" s="143">
        <f t="shared" si="8"/>
        <v>5</v>
      </c>
      <c r="W27" s="150"/>
      <c r="X27" s="147">
        <v>5.0</v>
      </c>
      <c r="Y27" s="147">
        <v>5.0</v>
      </c>
      <c r="Z27" s="150"/>
      <c r="AA27" s="143">
        <v>4.7</v>
      </c>
      <c r="AB27" s="155" t="s">
        <v>273</v>
      </c>
      <c r="AC27" s="153">
        <v>5.0</v>
      </c>
      <c r="AD27" s="153">
        <v>3.0</v>
      </c>
      <c r="AE27" s="149">
        <f t="shared" si="9"/>
        <v>5</v>
      </c>
      <c r="AF27" s="152"/>
      <c r="AG27" s="43">
        <v>2.5</v>
      </c>
      <c r="AH27" s="158" t="s">
        <v>212</v>
      </c>
    </row>
    <row r="28">
      <c r="A28" s="50">
        <v>26.0</v>
      </c>
      <c r="B28" s="94" t="s">
        <v>133</v>
      </c>
      <c r="C28" s="52" t="s">
        <v>134</v>
      </c>
      <c r="D28" s="147">
        <v>4.4</v>
      </c>
      <c r="E28" s="147">
        <v>5.0</v>
      </c>
      <c r="F28" s="148">
        <f t="shared" si="1"/>
        <v>9.4</v>
      </c>
      <c r="G28" s="149">
        <f t="shared" si="2"/>
        <v>4.7</v>
      </c>
      <c r="H28" s="150"/>
      <c r="I28" s="147">
        <v>5.0</v>
      </c>
      <c r="J28" s="147">
        <v>4.25</v>
      </c>
      <c r="K28" s="148">
        <f t="shared" si="3"/>
        <v>9.25</v>
      </c>
      <c r="L28" s="149">
        <f t="shared" si="4"/>
        <v>4.63</v>
      </c>
      <c r="M28" s="151" t="s">
        <v>274</v>
      </c>
      <c r="N28" s="147">
        <v>0.0</v>
      </c>
      <c r="O28" s="147">
        <v>1.9</v>
      </c>
      <c r="P28" s="148">
        <f t="shared" si="5"/>
        <v>1.9</v>
      </c>
      <c r="Q28" s="149">
        <f t="shared" si="6"/>
        <v>0.95</v>
      </c>
      <c r="R28" s="151" t="s">
        <v>275</v>
      </c>
      <c r="S28" s="147">
        <v>0.0</v>
      </c>
      <c r="T28" s="147">
        <v>2.0</v>
      </c>
      <c r="U28" s="148">
        <f t="shared" si="7"/>
        <v>2</v>
      </c>
      <c r="V28" s="143">
        <f t="shared" si="8"/>
        <v>1.67</v>
      </c>
      <c r="W28" s="151" t="s">
        <v>245</v>
      </c>
      <c r="X28" s="147">
        <v>3.8</v>
      </c>
      <c r="Y28" s="147">
        <v>3.8</v>
      </c>
      <c r="Z28" s="151" t="s">
        <v>276</v>
      </c>
      <c r="AA28" s="143">
        <v>4.7</v>
      </c>
      <c r="AB28" s="155" t="s">
        <v>277</v>
      </c>
      <c r="AC28" s="153">
        <v>5.0</v>
      </c>
      <c r="AD28" s="153">
        <v>3.0</v>
      </c>
      <c r="AE28" s="149">
        <f t="shared" si="9"/>
        <v>5</v>
      </c>
      <c r="AF28" s="152"/>
      <c r="AG28" s="43">
        <v>2.0</v>
      </c>
      <c r="AH28" s="158" t="s">
        <v>278</v>
      </c>
    </row>
    <row r="29">
      <c r="A29" s="50">
        <v>27.0</v>
      </c>
      <c r="B29" s="94" t="s">
        <v>136</v>
      </c>
      <c r="C29" s="52" t="s">
        <v>137</v>
      </c>
      <c r="D29" s="147">
        <v>5.0</v>
      </c>
      <c r="E29" s="147">
        <v>5.0</v>
      </c>
      <c r="F29" s="148">
        <f t="shared" si="1"/>
        <v>10</v>
      </c>
      <c r="G29" s="149">
        <f t="shared" si="2"/>
        <v>5</v>
      </c>
      <c r="H29" s="150"/>
      <c r="I29" s="147">
        <v>5.0</v>
      </c>
      <c r="J29" s="147">
        <v>5.0</v>
      </c>
      <c r="K29" s="148">
        <f t="shared" si="3"/>
        <v>10</v>
      </c>
      <c r="L29" s="149">
        <f t="shared" si="4"/>
        <v>5</v>
      </c>
      <c r="M29" s="150"/>
      <c r="N29" s="147">
        <v>8.0</v>
      </c>
      <c r="O29" s="147">
        <v>2.0</v>
      </c>
      <c r="P29" s="148">
        <f t="shared" si="5"/>
        <v>10</v>
      </c>
      <c r="Q29" s="149">
        <f t="shared" si="6"/>
        <v>5</v>
      </c>
      <c r="R29" s="150"/>
      <c r="S29" s="147">
        <v>4.0</v>
      </c>
      <c r="T29" s="147">
        <v>2.0</v>
      </c>
      <c r="U29" s="148">
        <f t="shared" si="7"/>
        <v>6</v>
      </c>
      <c r="V29" s="143">
        <f t="shared" si="8"/>
        <v>5</v>
      </c>
      <c r="W29" s="151"/>
      <c r="X29" s="147">
        <v>5.0</v>
      </c>
      <c r="Y29" s="147">
        <v>5.0</v>
      </c>
      <c r="Z29" s="150"/>
      <c r="AA29" s="143">
        <v>5.0</v>
      </c>
      <c r="AB29" s="160"/>
      <c r="AC29" s="153">
        <v>5.0</v>
      </c>
      <c r="AD29" s="153">
        <v>3.0</v>
      </c>
      <c r="AE29" s="149">
        <f t="shared" si="9"/>
        <v>5</v>
      </c>
      <c r="AF29" s="152"/>
      <c r="AG29" s="43">
        <v>5.0</v>
      </c>
      <c r="AH29" s="154"/>
    </row>
    <row r="30">
      <c r="A30" s="50">
        <v>28.0</v>
      </c>
      <c r="B30" s="94" t="s">
        <v>139</v>
      </c>
      <c r="C30" s="75" t="s">
        <v>140</v>
      </c>
      <c r="D30" s="147">
        <v>5.0</v>
      </c>
      <c r="E30" s="147">
        <v>5.0</v>
      </c>
      <c r="F30" s="148">
        <f t="shared" si="1"/>
        <v>10</v>
      </c>
      <c r="G30" s="149">
        <f t="shared" si="2"/>
        <v>5</v>
      </c>
      <c r="H30" s="151"/>
      <c r="I30" s="147">
        <v>5.0</v>
      </c>
      <c r="J30" s="147">
        <v>5.0</v>
      </c>
      <c r="K30" s="148">
        <f t="shared" si="3"/>
        <v>10</v>
      </c>
      <c r="L30" s="149">
        <f t="shared" si="4"/>
        <v>5</v>
      </c>
      <c r="M30" s="151" t="s">
        <v>279</v>
      </c>
      <c r="N30" s="147">
        <v>8.0</v>
      </c>
      <c r="O30" s="147">
        <v>1.0</v>
      </c>
      <c r="P30" s="148">
        <f t="shared" si="5"/>
        <v>9</v>
      </c>
      <c r="Q30" s="149">
        <f t="shared" si="6"/>
        <v>4.5</v>
      </c>
      <c r="R30" s="151" t="s">
        <v>280</v>
      </c>
      <c r="S30" s="147">
        <v>2.0</v>
      </c>
      <c r="T30" s="147">
        <v>2.0</v>
      </c>
      <c r="U30" s="148">
        <f t="shared" si="7"/>
        <v>4</v>
      </c>
      <c r="V30" s="143">
        <f t="shared" si="8"/>
        <v>3.33</v>
      </c>
      <c r="W30" s="151" t="s">
        <v>281</v>
      </c>
      <c r="X30" s="148"/>
      <c r="Y30" s="148"/>
      <c r="Z30" s="150"/>
      <c r="AA30" s="143">
        <v>0.0</v>
      </c>
      <c r="AB30" s="160"/>
      <c r="AC30" s="156"/>
      <c r="AD30" s="156"/>
      <c r="AE30" s="149">
        <f t="shared" si="9"/>
        <v>0</v>
      </c>
      <c r="AF30" s="157" t="s">
        <v>217</v>
      </c>
      <c r="AG30" s="43">
        <v>0.0</v>
      </c>
      <c r="AH30" s="158" t="s">
        <v>209</v>
      </c>
    </row>
    <row r="31">
      <c r="A31" s="50">
        <v>29.0</v>
      </c>
      <c r="B31" s="94" t="s">
        <v>142</v>
      </c>
      <c r="C31" s="52" t="s">
        <v>143</v>
      </c>
      <c r="D31" s="147">
        <v>5.0</v>
      </c>
      <c r="E31" s="147">
        <v>5.0</v>
      </c>
      <c r="F31" s="148">
        <f t="shared" si="1"/>
        <v>10</v>
      </c>
      <c r="G31" s="149">
        <f t="shared" si="2"/>
        <v>5</v>
      </c>
      <c r="H31" s="150"/>
      <c r="I31" s="147">
        <v>5.0</v>
      </c>
      <c r="J31" s="147">
        <v>5.0</v>
      </c>
      <c r="K31" s="148">
        <f t="shared" si="3"/>
        <v>10</v>
      </c>
      <c r="L31" s="149">
        <f t="shared" si="4"/>
        <v>5</v>
      </c>
      <c r="M31" s="150"/>
      <c r="N31" s="147">
        <v>8.0</v>
      </c>
      <c r="O31" s="147">
        <v>2.0</v>
      </c>
      <c r="P31" s="148">
        <f t="shared" si="5"/>
        <v>10</v>
      </c>
      <c r="Q31" s="149">
        <f t="shared" si="6"/>
        <v>5</v>
      </c>
      <c r="R31" s="150"/>
      <c r="S31" s="147">
        <v>4.0</v>
      </c>
      <c r="T31" s="147">
        <v>2.0</v>
      </c>
      <c r="U31" s="148">
        <f t="shared" si="7"/>
        <v>6</v>
      </c>
      <c r="V31" s="143">
        <f t="shared" si="8"/>
        <v>5</v>
      </c>
      <c r="W31" s="150"/>
      <c r="X31" s="147">
        <v>5.0</v>
      </c>
      <c r="Y31" s="147">
        <v>5.0</v>
      </c>
      <c r="Z31" s="150"/>
      <c r="AA31" s="143">
        <v>4.85</v>
      </c>
      <c r="AB31" s="155" t="s">
        <v>282</v>
      </c>
      <c r="AC31" s="153">
        <v>5.0</v>
      </c>
      <c r="AD31" s="153">
        <v>3.0</v>
      </c>
      <c r="AE31" s="149">
        <f t="shared" si="9"/>
        <v>5</v>
      </c>
      <c r="AF31" s="152"/>
      <c r="AG31" s="43">
        <v>5.0</v>
      </c>
      <c r="AH31" s="154"/>
    </row>
    <row r="32">
      <c r="A32" s="50">
        <v>30.0</v>
      </c>
      <c r="B32" s="94" t="s">
        <v>145</v>
      </c>
      <c r="C32" s="52" t="s">
        <v>146</v>
      </c>
      <c r="D32" s="147">
        <v>5.0</v>
      </c>
      <c r="E32" s="147">
        <v>0.0</v>
      </c>
      <c r="F32" s="148">
        <f t="shared" si="1"/>
        <v>5</v>
      </c>
      <c r="G32" s="149">
        <f t="shared" si="2"/>
        <v>2.5</v>
      </c>
      <c r="H32" s="151" t="s">
        <v>283</v>
      </c>
      <c r="I32" s="147">
        <v>4.75</v>
      </c>
      <c r="J32" s="147">
        <v>5.0</v>
      </c>
      <c r="K32" s="148">
        <f t="shared" si="3"/>
        <v>9.75</v>
      </c>
      <c r="L32" s="149">
        <f t="shared" si="4"/>
        <v>4.88</v>
      </c>
      <c r="M32" s="151" t="s">
        <v>284</v>
      </c>
      <c r="N32" s="147">
        <v>8.0</v>
      </c>
      <c r="O32" s="147">
        <v>2.0</v>
      </c>
      <c r="P32" s="148">
        <f t="shared" si="5"/>
        <v>10</v>
      </c>
      <c r="Q32" s="149">
        <f t="shared" si="6"/>
        <v>5</v>
      </c>
      <c r="R32" s="150"/>
      <c r="S32" s="147">
        <v>4.0</v>
      </c>
      <c r="T32" s="147">
        <v>2.0</v>
      </c>
      <c r="U32" s="148">
        <f t="shared" si="7"/>
        <v>6</v>
      </c>
      <c r="V32" s="143">
        <f t="shared" si="8"/>
        <v>5</v>
      </c>
      <c r="W32" s="150"/>
      <c r="X32" s="147">
        <v>5.0</v>
      </c>
      <c r="Y32" s="147">
        <v>5.0</v>
      </c>
      <c r="Z32" s="150"/>
      <c r="AA32" s="143">
        <v>2.15</v>
      </c>
      <c r="AB32" s="155" t="s">
        <v>285</v>
      </c>
      <c r="AC32" s="153">
        <v>4.0</v>
      </c>
      <c r="AD32" s="156"/>
      <c r="AE32" s="149">
        <f t="shared" si="9"/>
        <v>2.5</v>
      </c>
      <c r="AF32" s="157" t="s">
        <v>286</v>
      </c>
      <c r="AG32" s="43">
        <v>0.0</v>
      </c>
      <c r="AH32" s="154"/>
    </row>
    <row r="33">
      <c r="A33" s="50">
        <v>31.0</v>
      </c>
      <c r="B33" s="94" t="s">
        <v>149</v>
      </c>
      <c r="C33" s="52" t="s">
        <v>150</v>
      </c>
      <c r="D33" s="148"/>
      <c r="E33" s="148"/>
      <c r="F33" s="148">
        <f t="shared" si="1"/>
        <v>0</v>
      </c>
      <c r="G33" s="149">
        <f t="shared" si="2"/>
        <v>0</v>
      </c>
      <c r="H33" s="151" t="s">
        <v>217</v>
      </c>
      <c r="I33" s="147">
        <v>5.0</v>
      </c>
      <c r="J33" s="147">
        <v>2.5</v>
      </c>
      <c r="K33" s="148">
        <f t="shared" si="3"/>
        <v>7.5</v>
      </c>
      <c r="L33" s="149">
        <f t="shared" si="4"/>
        <v>3.75</v>
      </c>
      <c r="M33" s="151" t="s">
        <v>287</v>
      </c>
      <c r="N33" s="147">
        <v>7.0</v>
      </c>
      <c r="O33" s="148"/>
      <c r="P33" s="148">
        <f t="shared" si="5"/>
        <v>7</v>
      </c>
      <c r="Q33" s="149">
        <f t="shared" si="6"/>
        <v>3.5</v>
      </c>
      <c r="R33" s="151" t="s">
        <v>286</v>
      </c>
      <c r="S33" s="147">
        <v>3.8</v>
      </c>
      <c r="T33" s="147">
        <v>2.0</v>
      </c>
      <c r="U33" s="148">
        <f t="shared" si="7"/>
        <v>5.8</v>
      </c>
      <c r="V33" s="143">
        <f t="shared" si="8"/>
        <v>4.83</v>
      </c>
      <c r="W33" s="151" t="s">
        <v>288</v>
      </c>
      <c r="X33" s="147">
        <v>0.8</v>
      </c>
      <c r="Y33" s="147">
        <v>0.8</v>
      </c>
      <c r="Z33" s="151" t="s">
        <v>289</v>
      </c>
      <c r="AA33" s="143">
        <v>4.0</v>
      </c>
      <c r="AB33" s="155" t="s">
        <v>290</v>
      </c>
      <c r="AC33" s="153">
        <v>5.0</v>
      </c>
      <c r="AD33" s="153">
        <v>0.9</v>
      </c>
      <c r="AE33" s="149">
        <f t="shared" si="9"/>
        <v>3.69</v>
      </c>
      <c r="AF33" s="152"/>
      <c r="AG33" s="43">
        <v>2.0</v>
      </c>
      <c r="AH33" s="158" t="s">
        <v>291</v>
      </c>
    </row>
    <row r="34">
      <c r="A34" s="50">
        <v>32.0</v>
      </c>
      <c r="B34" s="94" t="s">
        <v>152</v>
      </c>
      <c r="C34" s="52" t="s">
        <v>153</v>
      </c>
      <c r="D34" s="147">
        <v>4.9</v>
      </c>
      <c r="E34" s="147">
        <v>5.0</v>
      </c>
      <c r="F34" s="148">
        <f t="shared" si="1"/>
        <v>9.9</v>
      </c>
      <c r="G34" s="149">
        <f t="shared" si="2"/>
        <v>4.95</v>
      </c>
      <c r="H34" s="150"/>
      <c r="I34" s="147">
        <v>5.0</v>
      </c>
      <c r="J34" s="147">
        <v>4.25</v>
      </c>
      <c r="K34" s="148">
        <f t="shared" si="3"/>
        <v>9.25</v>
      </c>
      <c r="L34" s="149">
        <f t="shared" si="4"/>
        <v>4.63</v>
      </c>
      <c r="M34" s="151" t="s">
        <v>292</v>
      </c>
      <c r="N34" s="147">
        <v>8.0</v>
      </c>
      <c r="O34" s="147">
        <v>1.9</v>
      </c>
      <c r="P34" s="148">
        <f t="shared" si="5"/>
        <v>9.9</v>
      </c>
      <c r="Q34" s="149">
        <f t="shared" si="6"/>
        <v>4.95</v>
      </c>
      <c r="R34" s="151" t="s">
        <v>204</v>
      </c>
      <c r="S34" s="147">
        <v>4.0</v>
      </c>
      <c r="T34" s="148"/>
      <c r="U34" s="148">
        <f t="shared" si="7"/>
        <v>4</v>
      </c>
      <c r="V34" s="143">
        <f t="shared" si="8"/>
        <v>3.33</v>
      </c>
      <c r="W34" s="151" t="s">
        <v>208</v>
      </c>
      <c r="X34" s="147">
        <v>4.9</v>
      </c>
      <c r="Y34" s="147">
        <v>4.9</v>
      </c>
      <c r="Z34" s="151" t="s">
        <v>293</v>
      </c>
      <c r="AA34" s="143">
        <v>5.0</v>
      </c>
      <c r="AB34" s="155"/>
      <c r="AC34" s="153">
        <v>5.0</v>
      </c>
      <c r="AD34" s="153">
        <v>3.0</v>
      </c>
      <c r="AE34" s="149">
        <f t="shared" si="9"/>
        <v>5</v>
      </c>
      <c r="AF34" s="152"/>
      <c r="AG34" s="43">
        <v>2.5</v>
      </c>
      <c r="AH34" s="158" t="s">
        <v>212</v>
      </c>
    </row>
    <row r="35">
      <c r="A35" s="50">
        <v>33.0</v>
      </c>
      <c r="B35" s="94" t="s">
        <v>155</v>
      </c>
      <c r="C35" s="52" t="s">
        <v>156</v>
      </c>
      <c r="D35" s="147">
        <v>4.9</v>
      </c>
      <c r="E35" s="147">
        <v>5.0</v>
      </c>
      <c r="F35" s="148">
        <f t="shared" si="1"/>
        <v>9.9</v>
      </c>
      <c r="G35" s="149">
        <f t="shared" si="2"/>
        <v>4.95</v>
      </c>
      <c r="H35" s="150"/>
      <c r="I35" s="147">
        <v>5.0</v>
      </c>
      <c r="J35" s="147">
        <v>4.75</v>
      </c>
      <c r="K35" s="148">
        <f t="shared" si="3"/>
        <v>9.75</v>
      </c>
      <c r="L35" s="149">
        <f t="shared" si="4"/>
        <v>4.88</v>
      </c>
      <c r="M35" s="151" t="s">
        <v>294</v>
      </c>
      <c r="N35" s="147">
        <v>0.0</v>
      </c>
      <c r="O35" s="148"/>
      <c r="P35" s="148">
        <f t="shared" si="5"/>
        <v>0</v>
      </c>
      <c r="Q35" s="149">
        <f t="shared" si="6"/>
        <v>0</v>
      </c>
      <c r="R35" s="151" t="s">
        <v>295</v>
      </c>
      <c r="S35" s="148"/>
      <c r="T35" s="147">
        <v>2.0</v>
      </c>
      <c r="U35" s="148">
        <f t="shared" si="7"/>
        <v>2</v>
      </c>
      <c r="V35" s="143">
        <f t="shared" si="8"/>
        <v>1.67</v>
      </c>
      <c r="W35" s="151" t="s">
        <v>220</v>
      </c>
      <c r="X35" s="147">
        <v>5.0</v>
      </c>
      <c r="Y35" s="147">
        <v>5.0</v>
      </c>
      <c r="Z35" s="150"/>
      <c r="AA35" s="143">
        <v>4.75</v>
      </c>
      <c r="AB35" s="155" t="s">
        <v>296</v>
      </c>
      <c r="AC35" s="153">
        <v>5.0</v>
      </c>
      <c r="AD35" s="153">
        <v>3.0</v>
      </c>
      <c r="AE35" s="149">
        <f t="shared" si="9"/>
        <v>5</v>
      </c>
      <c r="AF35" s="152"/>
      <c r="AG35" s="43">
        <v>2.5</v>
      </c>
      <c r="AH35" s="158" t="s">
        <v>212</v>
      </c>
    </row>
    <row r="36">
      <c r="A36" s="50">
        <v>34.0</v>
      </c>
      <c r="B36" s="94" t="s">
        <v>158</v>
      </c>
      <c r="C36" s="52" t="s">
        <v>159</v>
      </c>
      <c r="D36" s="147">
        <v>4.9</v>
      </c>
      <c r="E36" s="147">
        <v>5.0</v>
      </c>
      <c r="F36" s="148">
        <f t="shared" si="1"/>
        <v>9.9</v>
      </c>
      <c r="G36" s="149">
        <f t="shared" si="2"/>
        <v>4.95</v>
      </c>
      <c r="H36" s="150"/>
      <c r="I36" s="147">
        <v>5.0</v>
      </c>
      <c r="J36" s="147">
        <v>5.0</v>
      </c>
      <c r="K36" s="148">
        <f t="shared" si="3"/>
        <v>10</v>
      </c>
      <c r="L36" s="149">
        <f t="shared" si="4"/>
        <v>5</v>
      </c>
      <c r="M36" s="150"/>
      <c r="N36" s="147">
        <v>0.0</v>
      </c>
      <c r="O36" s="147">
        <v>2.0</v>
      </c>
      <c r="P36" s="148">
        <f t="shared" si="5"/>
        <v>2</v>
      </c>
      <c r="Q36" s="149">
        <f t="shared" si="6"/>
        <v>1</v>
      </c>
      <c r="R36" s="151" t="s">
        <v>297</v>
      </c>
      <c r="S36" s="148"/>
      <c r="T36" s="147">
        <v>2.0</v>
      </c>
      <c r="U36" s="148">
        <f t="shared" si="7"/>
        <v>2</v>
      </c>
      <c r="V36" s="143">
        <f t="shared" si="8"/>
        <v>1.67</v>
      </c>
      <c r="W36" s="151" t="s">
        <v>220</v>
      </c>
      <c r="X36" s="147">
        <v>5.0</v>
      </c>
      <c r="Y36" s="147">
        <v>5.0</v>
      </c>
      <c r="Z36" s="150"/>
      <c r="AA36" s="143">
        <v>4.35</v>
      </c>
      <c r="AB36" s="155" t="s">
        <v>298</v>
      </c>
      <c r="AC36" s="153">
        <v>5.0</v>
      </c>
      <c r="AD36" s="153">
        <v>2.3</v>
      </c>
      <c r="AE36" s="149">
        <f t="shared" si="9"/>
        <v>4.56</v>
      </c>
      <c r="AF36" s="152"/>
      <c r="AG36" s="43">
        <v>2.5</v>
      </c>
      <c r="AH36" s="158" t="s">
        <v>212</v>
      </c>
    </row>
    <row r="37">
      <c r="A37" s="50">
        <v>35.0</v>
      </c>
      <c r="B37" s="94" t="s">
        <v>161</v>
      </c>
      <c r="C37" s="52" t="s">
        <v>162</v>
      </c>
      <c r="D37" s="147">
        <v>5.0</v>
      </c>
      <c r="E37" s="147">
        <v>5.0</v>
      </c>
      <c r="F37" s="148">
        <f t="shared" si="1"/>
        <v>10</v>
      </c>
      <c r="G37" s="149">
        <f t="shared" si="2"/>
        <v>5</v>
      </c>
      <c r="H37" s="150"/>
      <c r="I37" s="147">
        <v>5.0</v>
      </c>
      <c r="J37" s="147">
        <v>5.0</v>
      </c>
      <c r="K37" s="148">
        <f t="shared" si="3"/>
        <v>10</v>
      </c>
      <c r="L37" s="149">
        <f t="shared" si="4"/>
        <v>5</v>
      </c>
      <c r="M37" s="150"/>
      <c r="N37" s="147">
        <v>8.0</v>
      </c>
      <c r="O37" s="147">
        <v>2.0</v>
      </c>
      <c r="P37" s="148">
        <f t="shared" si="5"/>
        <v>10</v>
      </c>
      <c r="Q37" s="149">
        <f t="shared" si="6"/>
        <v>5</v>
      </c>
      <c r="R37" s="150"/>
      <c r="S37" s="147">
        <v>4.0</v>
      </c>
      <c r="T37" s="147">
        <v>2.0</v>
      </c>
      <c r="U37" s="148">
        <f t="shared" si="7"/>
        <v>6</v>
      </c>
      <c r="V37" s="143">
        <f t="shared" si="8"/>
        <v>5</v>
      </c>
      <c r="W37" s="151" t="s">
        <v>220</v>
      </c>
      <c r="X37" s="147">
        <v>5.0</v>
      </c>
      <c r="Y37" s="147">
        <v>5.0</v>
      </c>
      <c r="Z37" s="150"/>
      <c r="AA37" s="143">
        <v>2.5</v>
      </c>
      <c r="AB37" s="155" t="s">
        <v>299</v>
      </c>
      <c r="AC37" s="153">
        <v>5.0</v>
      </c>
      <c r="AD37" s="153">
        <v>3.0</v>
      </c>
      <c r="AE37" s="149">
        <f t="shared" si="9"/>
        <v>5</v>
      </c>
      <c r="AF37" s="152"/>
      <c r="AG37" s="43">
        <v>5.0</v>
      </c>
      <c r="AH37" s="154"/>
    </row>
    <row r="38">
      <c r="A38" s="50">
        <v>36.0</v>
      </c>
      <c r="B38" s="94" t="s">
        <v>164</v>
      </c>
      <c r="C38" s="52" t="s">
        <v>165</v>
      </c>
      <c r="D38" s="147">
        <v>5.0</v>
      </c>
      <c r="E38" s="147">
        <v>5.0</v>
      </c>
      <c r="F38" s="148">
        <f t="shared" si="1"/>
        <v>10</v>
      </c>
      <c r="G38" s="149">
        <f t="shared" si="2"/>
        <v>5</v>
      </c>
      <c r="H38" s="151"/>
      <c r="I38" s="147">
        <v>5.0</v>
      </c>
      <c r="J38" s="161">
        <v>5.0</v>
      </c>
      <c r="K38" s="148">
        <f t="shared" si="3"/>
        <v>10</v>
      </c>
      <c r="L38" s="149">
        <f t="shared" si="4"/>
        <v>5</v>
      </c>
      <c r="M38" s="151" t="s">
        <v>300</v>
      </c>
      <c r="N38" s="147">
        <v>8.0</v>
      </c>
      <c r="O38" s="147">
        <v>1.9</v>
      </c>
      <c r="P38" s="148">
        <f t="shared" si="5"/>
        <v>9.9</v>
      </c>
      <c r="Q38" s="149">
        <f t="shared" si="6"/>
        <v>4.95</v>
      </c>
      <c r="R38" s="151" t="s">
        <v>204</v>
      </c>
      <c r="S38" s="147">
        <v>4.0</v>
      </c>
      <c r="T38" s="147">
        <v>2.0</v>
      </c>
      <c r="U38" s="148">
        <f t="shared" si="7"/>
        <v>6</v>
      </c>
      <c r="V38" s="143">
        <f t="shared" si="8"/>
        <v>5</v>
      </c>
      <c r="W38" s="150"/>
      <c r="X38" s="147">
        <v>5.0</v>
      </c>
      <c r="Y38" s="147">
        <v>5.0</v>
      </c>
      <c r="Z38" s="150"/>
      <c r="AA38" s="143">
        <v>5.0</v>
      </c>
      <c r="AB38" s="162"/>
      <c r="AC38" s="153">
        <v>5.0</v>
      </c>
      <c r="AD38" s="153">
        <v>3.0</v>
      </c>
      <c r="AE38" s="149">
        <f t="shared" si="9"/>
        <v>5</v>
      </c>
      <c r="AF38" s="152"/>
      <c r="AG38" s="43">
        <v>0.0</v>
      </c>
      <c r="AH38" s="158" t="s">
        <v>209</v>
      </c>
    </row>
    <row r="39">
      <c r="A39" s="50">
        <v>37.0</v>
      </c>
      <c r="B39" s="94" t="s">
        <v>167</v>
      </c>
      <c r="C39" s="52" t="s">
        <v>168</v>
      </c>
      <c r="D39" s="147">
        <v>5.0</v>
      </c>
      <c r="E39" s="147">
        <v>5.0</v>
      </c>
      <c r="F39" s="148">
        <f t="shared" si="1"/>
        <v>10</v>
      </c>
      <c r="G39" s="149">
        <f t="shared" si="2"/>
        <v>5</v>
      </c>
      <c r="H39" s="150"/>
      <c r="I39" s="147">
        <v>5.0</v>
      </c>
      <c r="J39" s="147">
        <v>5.0</v>
      </c>
      <c r="K39" s="148">
        <f t="shared" si="3"/>
        <v>10</v>
      </c>
      <c r="L39" s="149">
        <f t="shared" si="4"/>
        <v>5</v>
      </c>
      <c r="M39" s="150"/>
      <c r="N39" s="147">
        <v>0.0</v>
      </c>
      <c r="O39" s="147">
        <v>2.0</v>
      </c>
      <c r="P39" s="148">
        <f t="shared" si="5"/>
        <v>2</v>
      </c>
      <c r="Q39" s="149">
        <f t="shared" si="6"/>
        <v>1</v>
      </c>
      <c r="R39" s="151" t="s">
        <v>301</v>
      </c>
      <c r="S39" s="147">
        <v>0.0</v>
      </c>
      <c r="T39" s="147">
        <v>0.8</v>
      </c>
      <c r="U39" s="148">
        <f t="shared" si="7"/>
        <v>0.8</v>
      </c>
      <c r="V39" s="143">
        <f t="shared" si="8"/>
        <v>0.67</v>
      </c>
      <c r="W39" s="151" t="s">
        <v>245</v>
      </c>
      <c r="X39" s="147">
        <v>4.9</v>
      </c>
      <c r="Y39" s="147">
        <v>4.9</v>
      </c>
      <c r="Z39" s="151" t="s">
        <v>293</v>
      </c>
      <c r="AA39" s="143">
        <v>2.25</v>
      </c>
      <c r="AB39" s="155" t="s">
        <v>302</v>
      </c>
      <c r="AC39" s="153">
        <v>5.0</v>
      </c>
      <c r="AD39" s="153">
        <v>3.0</v>
      </c>
      <c r="AE39" s="149">
        <f t="shared" si="9"/>
        <v>5</v>
      </c>
      <c r="AF39" s="152"/>
      <c r="AG39" s="43">
        <v>0.0</v>
      </c>
      <c r="AH39" s="158" t="s">
        <v>209</v>
      </c>
    </row>
    <row r="40">
      <c r="A40" s="50">
        <v>38.0</v>
      </c>
      <c r="B40" s="94" t="s">
        <v>170</v>
      </c>
      <c r="C40" s="52" t="s">
        <v>171</v>
      </c>
      <c r="D40" s="147">
        <v>5.0</v>
      </c>
      <c r="E40" s="147">
        <v>5.0</v>
      </c>
      <c r="F40" s="148">
        <f t="shared" si="1"/>
        <v>10</v>
      </c>
      <c r="G40" s="149">
        <f t="shared" si="2"/>
        <v>5</v>
      </c>
      <c r="H40" s="150"/>
      <c r="I40" s="147">
        <v>5.0</v>
      </c>
      <c r="J40" s="147">
        <v>5.0</v>
      </c>
      <c r="K40" s="148">
        <f t="shared" si="3"/>
        <v>10</v>
      </c>
      <c r="L40" s="149">
        <f t="shared" si="4"/>
        <v>5</v>
      </c>
      <c r="M40" s="150"/>
      <c r="N40" s="147">
        <v>7.0</v>
      </c>
      <c r="O40" s="147">
        <v>2.0</v>
      </c>
      <c r="P40" s="148">
        <f t="shared" si="5"/>
        <v>9</v>
      </c>
      <c r="Q40" s="149">
        <f t="shared" si="6"/>
        <v>4.5</v>
      </c>
      <c r="R40" s="151" t="s">
        <v>303</v>
      </c>
      <c r="S40" s="147">
        <v>4.0</v>
      </c>
      <c r="T40" s="147">
        <v>2.0</v>
      </c>
      <c r="U40" s="148">
        <f t="shared" si="7"/>
        <v>6</v>
      </c>
      <c r="V40" s="143">
        <f t="shared" si="8"/>
        <v>5</v>
      </c>
      <c r="W40" s="150"/>
      <c r="X40" s="147">
        <v>5.0</v>
      </c>
      <c r="Y40" s="147">
        <v>5.0</v>
      </c>
      <c r="Z40" s="150"/>
      <c r="AA40" s="143">
        <v>2.95</v>
      </c>
      <c r="AB40" s="155" t="s">
        <v>304</v>
      </c>
      <c r="AC40" s="153">
        <v>5.0</v>
      </c>
      <c r="AD40" s="156"/>
      <c r="AE40" s="149">
        <f t="shared" si="9"/>
        <v>3.13</v>
      </c>
      <c r="AF40" s="157" t="s">
        <v>208</v>
      </c>
      <c r="AG40" s="43">
        <v>2.5</v>
      </c>
      <c r="AH40" s="158" t="s">
        <v>212</v>
      </c>
    </row>
    <row r="41">
      <c r="A41" s="79">
        <v>39.0</v>
      </c>
      <c r="B41" s="163" t="s">
        <v>173</v>
      </c>
      <c r="C41" s="81" t="s">
        <v>174</v>
      </c>
      <c r="D41" s="147">
        <v>5.0</v>
      </c>
      <c r="E41" s="147">
        <v>5.0</v>
      </c>
      <c r="F41" s="148">
        <f t="shared" si="1"/>
        <v>10</v>
      </c>
      <c r="G41" s="149">
        <f t="shared" si="2"/>
        <v>5</v>
      </c>
      <c r="H41" s="150"/>
      <c r="I41" s="147">
        <v>5.0</v>
      </c>
      <c r="J41" s="147">
        <v>5.0</v>
      </c>
      <c r="K41" s="148">
        <f t="shared" si="3"/>
        <v>10</v>
      </c>
      <c r="L41" s="149">
        <f t="shared" si="4"/>
        <v>5</v>
      </c>
      <c r="M41" s="150"/>
      <c r="N41" s="147">
        <v>8.0</v>
      </c>
      <c r="O41" s="147">
        <v>2.0</v>
      </c>
      <c r="P41" s="148">
        <f t="shared" si="5"/>
        <v>10</v>
      </c>
      <c r="Q41" s="149">
        <f t="shared" si="6"/>
        <v>5</v>
      </c>
      <c r="R41" s="150"/>
      <c r="S41" s="147">
        <v>4.0</v>
      </c>
      <c r="T41" s="147">
        <v>2.0</v>
      </c>
      <c r="U41" s="148">
        <f t="shared" si="7"/>
        <v>6</v>
      </c>
      <c r="V41" s="143">
        <f t="shared" si="8"/>
        <v>5</v>
      </c>
      <c r="W41" s="151"/>
      <c r="X41" s="147">
        <v>5.0</v>
      </c>
      <c r="Y41" s="147">
        <v>5.0</v>
      </c>
      <c r="Z41" s="150"/>
      <c r="AA41" s="143">
        <v>1.4</v>
      </c>
      <c r="AB41" s="157" t="s">
        <v>305</v>
      </c>
      <c r="AC41" s="153">
        <v>5.0</v>
      </c>
      <c r="AD41" s="153">
        <v>3.0</v>
      </c>
      <c r="AE41" s="149">
        <f t="shared" si="9"/>
        <v>5</v>
      </c>
      <c r="AF41" s="152"/>
      <c r="AG41" s="44"/>
      <c r="AH41" s="154"/>
    </row>
    <row r="42">
      <c r="A42" s="79">
        <v>40.0</v>
      </c>
      <c r="B42" s="44"/>
      <c r="C42" s="82"/>
      <c r="D42" s="148"/>
      <c r="E42" s="148"/>
      <c r="F42" s="148"/>
      <c r="G42" s="148"/>
      <c r="H42" s="150"/>
      <c r="I42" s="148"/>
      <c r="J42" s="148"/>
      <c r="K42" s="148"/>
      <c r="L42" s="148"/>
      <c r="M42" s="150"/>
      <c r="N42" s="148"/>
      <c r="O42" s="148"/>
      <c r="P42" s="148"/>
      <c r="Q42" s="148"/>
      <c r="R42" s="150"/>
      <c r="S42" s="148"/>
      <c r="T42" s="148"/>
      <c r="U42" s="148"/>
      <c r="V42" s="148"/>
      <c r="W42" s="150"/>
      <c r="X42" s="148"/>
      <c r="Y42" s="148"/>
      <c r="Z42" s="150"/>
      <c r="AA42" s="156"/>
      <c r="AB42" s="152"/>
      <c r="AC42" s="156"/>
      <c r="AD42" s="156"/>
      <c r="AE42" s="156"/>
      <c r="AF42" s="152"/>
      <c r="AG42" s="134"/>
    </row>
    <row r="43">
      <c r="A43" s="2"/>
      <c r="B43" s="91"/>
      <c r="C43" s="2"/>
      <c r="H43" s="132"/>
      <c r="J43" s="133"/>
      <c r="M43" s="132"/>
      <c r="R43" s="132"/>
      <c r="W43" s="132"/>
      <c r="Z43" s="132"/>
      <c r="AA43" s="156"/>
      <c r="AB43" s="152"/>
      <c r="AF43" s="132"/>
      <c r="AG43" s="134"/>
    </row>
    <row r="44">
      <c r="A44" s="2"/>
      <c r="B44" s="91"/>
      <c r="C44" s="2"/>
      <c r="H44" s="132"/>
      <c r="J44" s="133"/>
      <c r="M44" s="132"/>
      <c r="R44" s="132"/>
      <c r="W44" s="132"/>
      <c r="Z44" s="132"/>
      <c r="AA44" s="156"/>
      <c r="AB44" s="152"/>
      <c r="AF44" s="132"/>
      <c r="AG44" s="134"/>
    </row>
    <row r="45">
      <c r="A45" s="2"/>
      <c r="B45" s="91"/>
      <c r="C45" s="2"/>
      <c r="H45" s="132"/>
      <c r="J45" s="133"/>
      <c r="M45" s="132"/>
      <c r="R45" s="132"/>
      <c r="W45" s="132"/>
      <c r="Z45" s="132"/>
      <c r="AA45" s="156"/>
      <c r="AB45" s="152"/>
      <c r="AF45" s="132"/>
      <c r="AG45" s="134"/>
    </row>
    <row r="46">
      <c r="A46" s="2"/>
      <c r="B46" s="91"/>
      <c r="C46" s="92"/>
      <c r="H46" s="132"/>
      <c r="J46" s="133"/>
      <c r="M46" s="132"/>
      <c r="R46" s="132"/>
      <c r="W46" s="132"/>
      <c r="Z46" s="132"/>
      <c r="AA46" s="156"/>
      <c r="AB46" s="152"/>
      <c r="AF46" s="132"/>
      <c r="AG46" s="134"/>
    </row>
    <row r="47">
      <c r="A47" s="2"/>
      <c r="B47" s="91"/>
      <c r="C47" s="2"/>
      <c r="H47" s="132"/>
      <c r="J47" s="133"/>
      <c r="M47" s="132"/>
      <c r="R47" s="132"/>
      <c r="W47" s="132"/>
      <c r="Z47" s="132"/>
      <c r="AA47" s="156"/>
      <c r="AB47" s="152"/>
      <c r="AF47" s="132"/>
      <c r="AG47" s="134"/>
    </row>
    <row r="48">
      <c r="A48" s="2"/>
      <c r="B48" s="91"/>
      <c r="C48" s="2"/>
      <c r="H48" s="132"/>
      <c r="J48" s="133"/>
      <c r="M48" s="132"/>
      <c r="R48" s="132"/>
      <c r="W48" s="132"/>
      <c r="Z48" s="132"/>
      <c r="AA48" s="156"/>
      <c r="AB48" s="152"/>
      <c r="AF48" s="132"/>
      <c r="AG48" s="134"/>
    </row>
    <row r="49">
      <c r="A49" s="2"/>
      <c r="B49" s="91"/>
      <c r="C49" s="2"/>
      <c r="H49" s="132"/>
      <c r="J49" s="133"/>
      <c r="M49" s="132"/>
      <c r="R49" s="132"/>
      <c r="W49" s="132"/>
      <c r="Z49" s="132"/>
      <c r="AA49" s="156"/>
      <c r="AB49" s="152"/>
      <c r="AF49" s="132"/>
      <c r="AG49" s="134"/>
    </row>
    <row r="50">
      <c r="A50" s="2"/>
      <c r="B50" s="91"/>
      <c r="C50" s="2"/>
      <c r="H50" s="132"/>
      <c r="J50" s="133"/>
      <c r="M50" s="132"/>
      <c r="R50" s="132"/>
      <c r="W50" s="132"/>
      <c r="Z50" s="132"/>
      <c r="AA50" s="156"/>
      <c r="AB50" s="152"/>
      <c r="AF50" s="132"/>
      <c r="AG50" s="134"/>
    </row>
    <row r="51">
      <c r="A51" s="2"/>
      <c r="B51" s="91"/>
      <c r="C51" s="2"/>
      <c r="H51" s="132"/>
      <c r="J51" s="133"/>
      <c r="M51" s="132"/>
      <c r="R51" s="132"/>
      <c r="W51" s="132"/>
      <c r="Z51" s="132"/>
      <c r="AA51" s="134"/>
      <c r="AB51" s="135"/>
      <c r="AF51" s="132"/>
      <c r="AG51" s="134"/>
    </row>
    <row r="52">
      <c r="A52" s="2"/>
      <c r="B52" s="91"/>
      <c r="C52" s="2"/>
      <c r="H52" s="132"/>
      <c r="J52" s="133"/>
      <c r="M52" s="132"/>
      <c r="R52" s="132"/>
      <c r="W52" s="132"/>
      <c r="Z52" s="132"/>
      <c r="AA52" s="134"/>
      <c r="AB52" s="135"/>
      <c r="AF52" s="132"/>
      <c r="AG52" s="134"/>
    </row>
    <row r="53">
      <c r="A53" s="2"/>
      <c r="B53" s="91"/>
      <c r="C53" s="2"/>
      <c r="H53" s="132"/>
      <c r="J53" s="133"/>
      <c r="M53" s="132"/>
      <c r="R53" s="132"/>
      <c r="W53" s="132"/>
      <c r="Z53" s="132"/>
      <c r="AA53" s="134"/>
      <c r="AB53" s="135"/>
      <c r="AF53" s="132"/>
      <c r="AG53" s="134"/>
    </row>
    <row r="54">
      <c r="A54" s="2"/>
      <c r="B54" s="91"/>
      <c r="C54" s="2"/>
      <c r="H54" s="132"/>
      <c r="J54" s="133"/>
      <c r="M54" s="132"/>
      <c r="R54" s="132"/>
      <c r="W54" s="132"/>
      <c r="Z54" s="132"/>
      <c r="AA54" s="134"/>
      <c r="AB54" s="135"/>
      <c r="AF54" s="132"/>
      <c r="AG54" s="134"/>
    </row>
    <row r="55">
      <c r="A55" s="2"/>
      <c r="B55" s="91"/>
      <c r="C55" s="2"/>
      <c r="H55" s="132"/>
      <c r="J55" s="133"/>
      <c r="M55" s="132"/>
      <c r="R55" s="132"/>
      <c r="W55" s="132"/>
      <c r="Z55" s="132"/>
      <c r="AA55" s="134"/>
      <c r="AB55" s="135"/>
      <c r="AF55" s="132"/>
      <c r="AG55" s="134"/>
    </row>
    <row r="56">
      <c r="A56" s="2"/>
      <c r="B56" s="91"/>
      <c r="C56" s="2"/>
      <c r="H56" s="132"/>
      <c r="J56" s="133"/>
      <c r="M56" s="132"/>
      <c r="R56" s="132"/>
      <c r="W56" s="132"/>
      <c r="Z56" s="132"/>
      <c r="AA56" s="134"/>
      <c r="AB56" s="135"/>
      <c r="AF56" s="132"/>
      <c r="AG56" s="134"/>
    </row>
    <row r="57">
      <c r="A57" s="2"/>
      <c r="B57" s="91"/>
      <c r="C57" s="2"/>
      <c r="H57" s="132"/>
      <c r="J57" s="133"/>
      <c r="M57" s="132"/>
      <c r="R57" s="132"/>
      <c r="W57" s="132"/>
      <c r="Z57" s="132"/>
      <c r="AA57" s="134"/>
      <c r="AB57" s="135"/>
      <c r="AF57" s="132"/>
      <c r="AG57" s="134"/>
    </row>
    <row r="58">
      <c r="A58" s="2"/>
      <c r="B58" s="91"/>
      <c r="C58" s="2"/>
      <c r="H58" s="132"/>
      <c r="J58" s="133"/>
      <c r="M58" s="132"/>
      <c r="R58" s="132"/>
      <c r="W58" s="132"/>
      <c r="Z58" s="132"/>
      <c r="AA58" s="134"/>
      <c r="AB58" s="135"/>
      <c r="AF58" s="132"/>
      <c r="AG58" s="134"/>
    </row>
    <row r="59">
      <c r="A59" s="2"/>
      <c r="B59" s="91"/>
      <c r="C59" s="2"/>
      <c r="H59" s="132"/>
      <c r="J59" s="133"/>
      <c r="M59" s="132"/>
      <c r="R59" s="132"/>
      <c r="W59" s="132"/>
      <c r="Z59" s="132"/>
      <c r="AA59" s="134"/>
      <c r="AB59" s="135"/>
      <c r="AF59" s="132"/>
      <c r="AG59" s="134"/>
    </row>
    <row r="60">
      <c r="A60" s="2"/>
      <c r="B60" s="91"/>
      <c r="C60" s="2"/>
      <c r="H60" s="132"/>
      <c r="J60" s="133"/>
      <c r="M60" s="132"/>
      <c r="R60" s="132"/>
      <c r="W60" s="132"/>
      <c r="Z60" s="132"/>
      <c r="AA60" s="134"/>
      <c r="AB60" s="135"/>
      <c r="AF60" s="132"/>
      <c r="AG60" s="134"/>
    </row>
    <row r="61">
      <c r="A61" s="2"/>
      <c r="B61" s="91"/>
      <c r="C61" s="2"/>
      <c r="H61" s="132"/>
      <c r="J61" s="133"/>
      <c r="M61" s="132"/>
      <c r="R61" s="132"/>
      <c r="W61" s="132"/>
      <c r="Z61" s="132"/>
      <c r="AA61" s="134"/>
      <c r="AB61" s="135"/>
      <c r="AF61" s="132"/>
      <c r="AG61" s="134"/>
    </row>
    <row r="62">
      <c r="A62" s="2"/>
      <c r="B62" s="91"/>
      <c r="C62" s="2"/>
      <c r="H62" s="132"/>
      <c r="J62" s="133"/>
      <c r="M62" s="132"/>
      <c r="R62" s="132"/>
      <c r="W62" s="132"/>
      <c r="Z62" s="132"/>
      <c r="AA62" s="134"/>
      <c r="AB62" s="135"/>
      <c r="AF62" s="132"/>
      <c r="AG62" s="134"/>
    </row>
    <row r="63">
      <c r="A63" s="2"/>
      <c r="B63" s="91"/>
      <c r="C63" s="2"/>
      <c r="H63" s="132"/>
      <c r="J63" s="133"/>
      <c r="M63" s="132"/>
      <c r="R63" s="132"/>
      <c r="W63" s="132"/>
      <c r="Z63" s="132"/>
      <c r="AA63" s="134"/>
      <c r="AB63" s="135"/>
      <c r="AF63" s="132"/>
      <c r="AG63" s="134"/>
    </row>
    <row r="64">
      <c r="A64" s="2"/>
      <c r="B64" s="91"/>
      <c r="C64" s="2"/>
      <c r="H64" s="132"/>
      <c r="J64" s="133"/>
      <c r="M64" s="132"/>
      <c r="R64" s="132"/>
      <c r="W64" s="132"/>
      <c r="Z64" s="132"/>
      <c r="AA64" s="134"/>
      <c r="AB64" s="135"/>
      <c r="AF64" s="132"/>
      <c r="AG64" s="134"/>
    </row>
    <row r="65">
      <c r="A65" s="2"/>
      <c r="B65" s="91"/>
      <c r="C65" s="2"/>
      <c r="H65" s="132"/>
      <c r="J65" s="133"/>
      <c r="M65" s="132"/>
      <c r="R65" s="132"/>
      <c r="W65" s="132"/>
      <c r="Z65" s="132"/>
      <c r="AA65" s="134"/>
      <c r="AB65" s="135"/>
      <c r="AF65" s="132"/>
      <c r="AG65" s="134"/>
    </row>
    <row r="66">
      <c r="A66" s="2"/>
      <c r="B66" s="91"/>
      <c r="C66" s="2"/>
      <c r="H66" s="132"/>
      <c r="J66" s="133"/>
      <c r="M66" s="132"/>
      <c r="R66" s="132"/>
      <c r="W66" s="132"/>
      <c r="Z66" s="132"/>
      <c r="AA66" s="134"/>
      <c r="AB66" s="135"/>
      <c r="AF66" s="132"/>
      <c r="AG66" s="134"/>
    </row>
    <row r="67">
      <c r="A67" s="2"/>
      <c r="B67" s="91"/>
      <c r="C67" s="2"/>
      <c r="H67" s="132"/>
      <c r="J67" s="133"/>
      <c r="M67" s="132"/>
      <c r="R67" s="132"/>
      <c r="W67" s="132"/>
      <c r="Z67" s="132"/>
      <c r="AA67" s="134"/>
      <c r="AB67" s="135"/>
      <c r="AF67" s="132"/>
      <c r="AG67" s="134"/>
    </row>
    <row r="68">
      <c r="A68" s="2"/>
      <c r="B68" s="91"/>
      <c r="C68" s="2"/>
      <c r="H68" s="132"/>
      <c r="J68" s="133"/>
      <c r="M68" s="132"/>
      <c r="R68" s="132"/>
      <c r="W68" s="132"/>
      <c r="Z68" s="132"/>
      <c r="AA68" s="134"/>
      <c r="AB68" s="135"/>
      <c r="AF68" s="132"/>
      <c r="AG68" s="134"/>
    </row>
    <row r="69">
      <c r="A69" s="2"/>
      <c r="B69" s="91"/>
      <c r="C69" s="2"/>
      <c r="H69" s="132"/>
      <c r="J69" s="133"/>
      <c r="M69" s="132"/>
      <c r="R69" s="132"/>
      <c r="W69" s="132"/>
      <c r="Z69" s="132"/>
      <c r="AA69" s="134"/>
      <c r="AB69" s="135"/>
      <c r="AF69" s="132"/>
      <c r="AG69" s="134"/>
    </row>
    <row r="70">
      <c r="A70" s="2"/>
      <c r="B70" s="91"/>
      <c r="C70" s="2"/>
      <c r="H70" s="132"/>
      <c r="J70" s="133"/>
      <c r="M70" s="132"/>
      <c r="R70" s="132"/>
      <c r="W70" s="132"/>
      <c r="Z70" s="132"/>
      <c r="AA70" s="134"/>
      <c r="AB70" s="135"/>
      <c r="AF70" s="132"/>
      <c r="AG70" s="134"/>
    </row>
    <row r="71">
      <c r="A71" s="2"/>
      <c r="B71" s="91"/>
      <c r="C71" s="2"/>
      <c r="H71" s="132"/>
      <c r="J71" s="133"/>
      <c r="M71" s="132"/>
      <c r="R71" s="132"/>
      <c r="W71" s="132"/>
      <c r="Z71" s="132"/>
      <c r="AA71" s="134"/>
      <c r="AB71" s="135"/>
      <c r="AF71" s="132"/>
      <c r="AG71" s="134"/>
    </row>
    <row r="72">
      <c r="A72" s="2"/>
      <c r="B72" s="91"/>
      <c r="C72" s="2"/>
      <c r="H72" s="132"/>
      <c r="J72" s="133"/>
      <c r="M72" s="132"/>
      <c r="R72" s="132"/>
      <c r="W72" s="132"/>
      <c r="Z72" s="132"/>
      <c r="AA72" s="134"/>
      <c r="AB72" s="135"/>
      <c r="AF72" s="132"/>
      <c r="AG72" s="134"/>
    </row>
    <row r="73">
      <c r="A73" s="2"/>
      <c r="B73" s="91"/>
      <c r="C73" s="2"/>
      <c r="H73" s="132"/>
      <c r="J73" s="133"/>
      <c r="M73" s="132"/>
      <c r="R73" s="132"/>
      <c r="W73" s="132"/>
      <c r="Z73" s="132"/>
      <c r="AA73" s="134"/>
      <c r="AB73" s="135"/>
      <c r="AF73" s="132"/>
      <c r="AG73" s="134"/>
    </row>
    <row r="74">
      <c r="A74" s="2"/>
      <c r="B74" s="91"/>
      <c r="C74" s="2"/>
      <c r="H74" s="132"/>
      <c r="J74" s="133"/>
      <c r="M74" s="132"/>
      <c r="R74" s="132"/>
      <c r="W74" s="132"/>
      <c r="Z74" s="132"/>
      <c r="AA74" s="134"/>
      <c r="AB74" s="135"/>
      <c r="AF74" s="132"/>
      <c r="AG74" s="134"/>
    </row>
    <row r="75">
      <c r="A75" s="2"/>
      <c r="B75" s="91"/>
      <c r="C75" s="2"/>
      <c r="H75" s="132"/>
      <c r="J75" s="133"/>
      <c r="M75" s="132"/>
      <c r="R75" s="132"/>
      <c r="W75" s="132"/>
      <c r="Z75" s="132"/>
      <c r="AA75" s="134"/>
      <c r="AB75" s="135"/>
      <c r="AF75" s="132"/>
      <c r="AG75" s="134"/>
    </row>
    <row r="76">
      <c r="A76" s="2"/>
      <c r="B76" s="91"/>
      <c r="C76" s="2"/>
      <c r="H76" s="132"/>
      <c r="J76" s="133"/>
      <c r="M76" s="132"/>
      <c r="R76" s="132"/>
      <c r="W76" s="132"/>
      <c r="Z76" s="132"/>
      <c r="AA76" s="134"/>
      <c r="AB76" s="135"/>
      <c r="AF76" s="132"/>
      <c r="AG76" s="134"/>
    </row>
    <row r="77">
      <c r="A77" s="2"/>
      <c r="B77" s="91"/>
      <c r="C77" s="2"/>
      <c r="H77" s="132"/>
      <c r="J77" s="133"/>
      <c r="M77" s="132"/>
      <c r="R77" s="132"/>
      <c r="W77" s="132"/>
      <c r="Z77" s="132"/>
      <c r="AA77" s="134"/>
      <c r="AB77" s="135"/>
      <c r="AF77" s="132"/>
      <c r="AG77" s="134"/>
    </row>
    <row r="78">
      <c r="A78" s="2"/>
      <c r="B78" s="91"/>
      <c r="C78" s="2"/>
      <c r="H78" s="132"/>
      <c r="J78" s="133"/>
      <c r="M78" s="132"/>
      <c r="R78" s="132"/>
      <c r="W78" s="132"/>
      <c r="Z78" s="132"/>
      <c r="AA78" s="134"/>
      <c r="AB78" s="135"/>
      <c r="AF78" s="132"/>
      <c r="AG78" s="134"/>
    </row>
    <row r="79">
      <c r="A79" s="2"/>
      <c r="B79" s="91"/>
      <c r="C79" s="2"/>
      <c r="H79" s="132"/>
      <c r="J79" s="133"/>
      <c r="M79" s="132"/>
      <c r="R79" s="132"/>
      <c r="W79" s="132"/>
      <c r="Z79" s="132"/>
      <c r="AA79" s="134"/>
      <c r="AB79" s="135"/>
      <c r="AF79" s="132"/>
      <c r="AG79" s="134"/>
    </row>
    <row r="80">
      <c r="A80" s="2"/>
      <c r="B80" s="91"/>
      <c r="C80" s="2"/>
      <c r="H80" s="132"/>
      <c r="J80" s="133"/>
      <c r="M80" s="132"/>
      <c r="R80" s="132"/>
      <c r="W80" s="132"/>
      <c r="Z80" s="132"/>
      <c r="AA80" s="134"/>
      <c r="AB80" s="135"/>
      <c r="AF80" s="132"/>
      <c r="AG80" s="134"/>
    </row>
    <row r="81">
      <c r="A81" s="2"/>
      <c r="B81" s="91"/>
      <c r="C81" s="2"/>
      <c r="H81" s="132"/>
      <c r="J81" s="133"/>
      <c r="M81" s="132"/>
      <c r="R81" s="132"/>
      <c r="W81" s="132"/>
      <c r="Z81" s="132"/>
      <c r="AA81" s="134"/>
      <c r="AB81" s="135"/>
      <c r="AF81" s="132"/>
      <c r="AG81" s="134"/>
    </row>
    <row r="82">
      <c r="A82" s="2"/>
      <c r="B82" s="91"/>
      <c r="C82" s="2"/>
      <c r="H82" s="132"/>
      <c r="J82" s="133"/>
      <c r="M82" s="132"/>
      <c r="R82" s="132"/>
      <c r="W82" s="132"/>
      <c r="Z82" s="132"/>
      <c r="AA82" s="134"/>
      <c r="AB82" s="135"/>
      <c r="AF82" s="132"/>
      <c r="AG82" s="134"/>
    </row>
    <row r="83">
      <c r="A83" s="2"/>
      <c r="B83" s="91"/>
      <c r="C83" s="2"/>
      <c r="H83" s="132"/>
      <c r="J83" s="133"/>
      <c r="M83" s="132"/>
      <c r="R83" s="132"/>
      <c r="W83" s="132"/>
      <c r="Z83" s="132"/>
      <c r="AA83" s="134"/>
      <c r="AB83" s="135"/>
      <c r="AF83" s="132"/>
      <c r="AG83" s="134"/>
    </row>
    <row r="84">
      <c r="A84" s="2"/>
      <c r="B84" s="91"/>
      <c r="C84" s="2"/>
      <c r="H84" s="132"/>
      <c r="J84" s="133"/>
      <c r="M84" s="132"/>
      <c r="R84" s="132"/>
      <c r="W84" s="132"/>
      <c r="Z84" s="132"/>
      <c r="AA84" s="134"/>
      <c r="AB84" s="135"/>
      <c r="AF84" s="132"/>
      <c r="AG84" s="134"/>
    </row>
    <row r="85">
      <c r="A85" s="2"/>
      <c r="B85" s="91"/>
      <c r="C85" s="2"/>
      <c r="H85" s="132"/>
      <c r="J85" s="133"/>
      <c r="M85" s="132"/>
      <c r="R85" s="132"/>
      <c r="W85" s="132"/>
      <c r="Z85" s="132"/>
      <c r="AA85" s="134"/>
      <c r="AB85" s="135"/>
      <c r="AF85" s="132"/>
      <c r="AG85" s="134"/>
    </row>
    <row r="86">
      <c r="A86" s="2"/>
      <c r="B86" s="91"/>
      <c r="C86" s="2"/>
      <c r="H86" s="132"/>
      <c r="J86" s="133"/>
      <c r="M86" s="132"/>
      <c r="R86" s="132"/>
      <c r="W86" s="132"/>
      <c r="Z86" s="132"/>
      <c r="AA86" s="134"/>
      <c r="AB86" s="135"/>
      <c r="AF86" s="132"/>
      <c r="AG86" s="134"/>
    </row>
    <row r="87">
      <c r="A87" s="2"/>
      <c r="B87" s="91"/>
      <c r="C87" s="2"/>
      <c r="H87" s="132"/>
      <c r="J87" s="133"/>
      <c r="M87" s="132"/>
      <c r="R87" s="132"/>
      <c r="W87" s="132"/>
      <c r="Z87" s="132"/>
      <c r="AA87" s="134"/>
      <c r="AB87" s="135"/>
      <c r="AF87" s="132"/>
      <c r="AG87" s="134"/>
    </row>
    <row r="88">
      <c r="A88" s="2"/>
      <c r="B88" s="91"/>
      <c r="C88" s="2"/>
      <c r="H88" s="132"/>
      <c r="J88" s="133"/>
      <c r="M88" s="132"/>
      <c r="R88" s="132"/>
      <c r="W88" s="132"/>
      <c r="Z88" s="132"/>
      <c r="AA88" s="134"/>
      <c r="AB88" s="135"/>
      <c r="AF88" s="132"/>
      <c r="AG88" s="134"/>
    </row>
    <row r="89">
      <c r="A89" s="2"/>
      <c r="B89" s="91"/>
      <c r="C89" s="2"/>
      <c r="H89" s="132"/>
      <c r="J89" s="133"/>
      <c r="M89" s="132"/>
      <c r="R89" s="132"/>
      <c r="W89" s="132"/>
      <c r="Z89" s="132"/>
      <c r="AA89" s="134"/>
      <c r="AB89" s="135"/>
      <c r="AF89" s="132"/>
      <c r="AG89" s="134"/>
    </row>
    <row r="90">
      <c r="A90" s="2"/>
      <c r="B90" s="91"/>
      <c r="C90" s="2"/>
      <c r="H90" s="132"/>
      <c r="J90" s="133"/>
      <c r="M90" s="132"/>
      <c r="R90" s="132"/>
      <c r="W90" s="132"/>
      <c r="Z90" s="132"/>
      <c r="AA90" s="134"/>
      <c r="AB90" s="135"/>
      <c r="AF90" s="132"/>
      <c r="AG90" s="134"/>
    </row>
    <row r="91">
      <c r="A91" s="2"/>
      <c r="B91" s="91"/>
      <c r="C91" s="2"/>
      <c r="H91" s="132"/>
      <c r="J91" s="133"/>
      <c r="M91" s="132"/>
      <c r="R91" s="132"/>
      <c r="W91" s="132"/>
      <c r="Z91" s="132"/>
      <c r="AA91" s="134"/>
      <c r="AB91" s="135"/>
      <c r="AF91" s="132"/>
      <c r="AG91" s="134"/>
    </row>
    <row r="92">
      <c r="A92" s="2"/>
      <c r="B92" s="91"/>
      <c r="C92" s="2"/>
      <c r="H92" s="132"/>
      <c r="J92" s="133"/>
      <c r="M92" s="132"/>
      <c r="R92" s="132"/>
      <c r="W92" s="132"/>
      <c r="Z92" s="132"/>
      <c r="AA92" s="134"/>
      <c r="AB92" s="135"/>
      <c r="AF92" s="132"/>
      <c r="AG92" s="134"/>
    </row>
    <row r="93">
      <c r="A93" s="2"/>
      <c r="B93" s="91"/>
      <c r="C93" s="2"/>
      <c r="H93" s="132"/>
      <c r="J93" s="133"/>
      <c r="M93" s="132"/>
      <c r="R93" s="132"/>
      <c r="W93" s="132"/>
      <c r="Z93" s="132"/>
      <c r="AA93" s="134"/>
      <c r="AB93" s="135"/>
      <c r="AF93" s="132"/>
      <c r="AG93" s="134"/>
    </row>
    <row r="94">
      <c r="A94" s="2"/>
      <c r="B94" s="91"/>
      <c r="C94" s="2"/>
      <c r="H94" s="132"/>
      <c r="J94" s="133"/>
      <c r="M94" s="132"/>
      <c r="R94" s="132"/>
      <c r="W94" s="132"/>
      <c r="Z94" s="132"/>
      <c r="AA94" s="134"/>
      <c r="AB94" s="135"/>
      <c r="AF94" s="132"/>
      <c r="AG94" s="134"/>
    </row>
    <row r="95">
      <c r="A95" s="2"/>
      <c r="B95" s="91"/>
      <c r="C95" s="2"/>
      <c r="H95" s="132"/>
      <c r="J95" s="133"/>
      <c r="M95" s="132"/>
      <c r="R95" s="132"/>
      <c r="W95" s="132"/>
      <c r="Z95" s="132"/>
      <c r="AA95" s="134"/>
      <c r="AB95" s="135"/>
      <c r="AF95" s="132"/>
      <c r="AG95" s="134"/>
    </row>
    <row r="96">
      <c r="A96" s="2"/>
      <c r="B96" s="91"/>
      <c r="C96" s="2"/>
      <c r="H96" s="132"/>
      <c r="J96" s="133"/>
      <c r="M96" s="132"/>
      <c r="R96" s="132"/>
      <c r="W96" s="132"/>
      <c r="Z96" s="132"/>
      <c r="AA96" s="134"/>
      <c r="AB96" s="135"/>
      <c r="AF96" s="132"/>
      <c r="AG96" s="134"/>
    </row>
    <row r="97">
      <c r="A97" s="2"/>
      <c r="B97" s="91"/>
      <c r="C97" s="2"/>
      <c r="H97" s="132"/>
      <c r="J97" s="133"/>
      <c r="M97" s="132"/>
      <c r="R97" s="132"/>
      <c r="W97" s="132"/>
      <c r="Z97" s="132"/>
      <c r="AA97" s="134"/>
      <c r="AB97" s="135"/>
      <c r="AF97" s="132"/>
      <c r="AG97" s="134"/>
    </row>
    <row r="98">
      <c r="A98" s="2"/>
      <c r="B98" s="91"/>
      <c r="C98" s="2"/>
      <c r="H98" s="132"/>
      <c r="J98" s="133"/>
      <c r="M98" s="132"/>
      <c r="R98" s="132"/>
      <c r="W98" s="132"/>
      <c r="Z98" s="132"/>
      <c r="AA98" s="134"/>
      <c r="AB98" s="135"/>
      <c r="AF98" s="132"/>
      <c r="AG98" s="134"/>
    </row>
    <row r="99">
      <c r="A99" s="2"/>
      <c r="B99" s="91"/>
      <c r="C99" s="2"/>
      <c r="H99" s="132"/>
      <c r="J99" s="133"/>
      <c r="M99" s="132"/>
      <c r="R99" s="132"/>
      <c r="W99" s="132"/>
      <c r="Z99" s="132"/>
      <c r="AA99" s="134"/>
      <c r="AB99" s="135"/>
      <c r="AF99" s="132"/>
      <c r="AG99" s="134"/>
    </row>
    <row r="100">
      <c r="A100" s="2"/>
      <c r="B100" s="91"/>
      <c r="C100" s="2"/>
      <c r="H100" s="132"/>
      <c r="J100" s="133"/>
      <c r="M100" s="132"/>
      <c r="R100" s="132"/>
      <c r="W100" s="132"/>
      <c r="Z100" s="132"/>
      <c r="AA100" s="134"/>
      <c r="AB100" s="135"/>
      <c r="AF100" s="132"/>
      <c r="AG100" s="134"/>
    </row>
    <row r="101">
      <c r="A101" s="2"/>
      <c r="B101" s="91"/>
      <c r="C101" s="2"/>
      <c r="H101" s="132"/>
      <c r="J101" s="133"/>
      <c r="M101" s="132"/>
      <c r="R101" s="132"/>
      <c r="W101" s="132"/>
      <c r="Z101" s="132"/>
      <c r="AA101" s="134"/>
      <c r="AB101" s="135"/>
      <c r="AF101" s="132"/>
      <c r="AG101" s="134"/>
    </row>
    <row r="102">
      <c r="A102" s="2"/>
      <c r="B102" s="91"/>
      <c r="C102" s="2"/>
      <c r="H102" s="132"/>
      <c r="J102" s="133"/>
      <c r="M102" s="132"/>
      <c r="R102" s="132"/>
      <c r="W102" s="132"/>
      <c r="Z102" s="132"/>
      <c r="AA102" s="134"/>
      <c r="AB102" s="135"/>
      <c r="AF102" s="132"/>
      <c r="AG102" s="134"/>
    </row>
    <row r="103">
      <c r="A103" s="2"/>
      <c r="B103" s="91"/>
      <c r="C103" s="2"/>
      <c r="H103" s="132"/>
      <c r="J103" s="133"/>
      <c r="M103" s="132"/>
      <c r="R103" s="132"/>
      <c r="W103" s="132"/>
      <c r="Z103" s="132"/>
      <c r="AA103" s="134"/>
      <c r="AB103" s="135"/>
      <c r="AF103" s="132"/>
      <c r="AG103" s="134"/>
    </row>
    <row r="104">
      <c r="A104" s="2"/>
      <c r="B104" s="91"/>
      <c r="C104" s="2"/>
      <c r="H104" s="132"/>
      <c r="J104" s="133"/>
      <c r="M104" s="132"/>
      <c r="R104" s="132"/>
      <c r="W104" s="132"/>
      <c r="Z104" s="132"/>
      <c r="AA104" s="134"/>
      <c r="AB104" s="135"/>
      <c r="AF104" s="132"/>
      <c r="AG104" s="134"/>
    </row>
    <row r="105">
      <c r="A105" s="2"/>
      <c r="B105" s="91"/>
      <c r="C105" s="2"/>
      <c r="H105" s="132"/>
      <c r="J105" s="133"/>
      <c r="M105" s="132"/>
      <c r="R105" s="132"/>
      <c r="W105" s="132"/>
      <c r="Z105" s="132"/>
      <c r="AA105" s="134"/>
      <c r="AB105" s="135"/>
      <c r="AF105" s="132"/>
      <c r="AG105" s="134"/>
    </row>
    <row r="106">
      <c r="A106" s="2"/>
      <c r="B106" s="91"/>
      <c r="C106" s="2"/>
      <c r="H106" s="132"/>
      <c r="J106" s="133"/>
      <c r="M106" s="132"/>
      <c r="R106" s="132"/>
      <c r="W106" s="132"/>
      <c r="Z106" s="132"/>
      <c r="AA106" s="134"/>
      <c r="AB106" s="135"/>
      <c r="AF106" s="132"/>
      <c r="AG106" s="134"/>
    </row>
    <row r="107">
      <c r="A107" s="2"/>
      <c r="B107" s="91"/>
      <c r="C107" s="2"/>
      <c r="H107" s="132"/>
      <c r="J107" s="133"/>
      <c r="M107" s="132"/>
      <c r="R107" s="132"/>
      <c r="W107" s="132"/>
      <c r="Z107" s="132"/>
      <c r="AA107" s="134"/>
      <c r="AB107" s="135"/>
      <c r="AF107" s="132"/>
      <c r="AG107" s="134"/>
    </row>
    <row r="108">
      <c r="A108" s="2"/>
      <c r="B108" s="91"/>
      <c r="C108" s="2"/>
      <c r="H108" s="132"/>
      <c r="J108" s="133"/>
      <c r="M108" s="132"/>
      <c r="R108" s="132"/>
      <c r="W108" s="132"/>
      <c r="Z108" s="132"/>
      <c r="AA108" s="134"/>
      <c r="AB108" s="135"/>
      <c r="AF108" s="132"/>
      <c r="AG108" s="134"/>
    </row>
    <row r="109">
      <c r="A109" s="2"/>
      <c r="B109" s="91"/>
      <c r="C109" s="2"/>
      <c r="H109" s="132"/>
      <c r="J109" s="133"/>
      <c r="M109" s="132"/>
      <c r="R109" s="132"/>
      <c r="W109" s="132"/>
      <c r="Z109" s="132"/>
      <c r="AA109" s="134"/>
      <c r="AB109" s="135"/>
      <c r="AF109" s="132"/>
      <c r="AG109" s="134"/>
    </row>
    <row r="110">
      <c r="A110" s="2"/>
      <c r="B110" s="91"/>
      <c r="C110" s="2"/>
      <c r="H110" s="132"/>
      <c r="J110" s="133"/>
      <c r="M110" s="132"/>
      <c r="R110" s="132"/>
      <c r="W110" s="132"/>
      <c r="Z110" s="132"/>
      <c r="AA110" s="134"/>
      <c r="AB110" s="135"/>
      <c r="AF110" s="132"/>
      <c r="AG110" s="134"/>
    </row>
    <row r="111">
      <c r="A111" s="2"/>
      <c r="B111" s="91"/>
      <c r="C111" s="2"/>
      <c r="H111" s="132"/>
      <c r="J111" s="133"/>
      <c r="M111" s="132"/>
      <c r="R111" s="132"/>
      <c r="W111" s="132"/>
      <c r="Z111" s="132"/>
      <c r="AA111" s="134"/>
      <c r="AB111" s="135"/>
      <c r="AF111" s="132"/>
      <c r="AG111" s="134"/>
    </row>
    <row r="112">
      <c r="A112" s="2"/>
      <c r="B112" s="91"/>
      <c r="C112" s="2"/>
      <c r="H112" s="132"/>
      <c r="J112" s="133"/>
      <c r="M112" s="132"/>
      <c r="R112" s="132"/>
      <c r="W112" s="132"/>
      <c r="Z112" s="132"/>
      <c r="AA112" s="134"/>
      <c r="AB112" s="135"/>
      <c r="AF112" s="132"/>
      <c r="AG112" s="134"/>
    </row>
    <row r="113">
      <c r="A113" s="2"/>
      <c r="B113" s="91"/>
      <c r="C113" s="2"/>
      <c r="H113" s="132"/>
      <c r="J113" s="133"/>
      <c r="M113" s="132"/>
      <c r="R113" s="132"/>
      <c r="W113" s="132"/>
      <c r="Z113" s="132"/>
      <c r="AA113" s="134"/>
      <c r="AB113" s="135"/>
      <c r="AF113" s="132"/>
      <c r="AG113" s="134"/>
    </row>
    <row r="114">
      <c r="A114" s="2"/>
      <c r="B114" s="91"/>
      <c r="C114" s="2"/>
      <c r="H114" s="132"/>
      <c r="J114" s="133"/>
      <c r="M114" s="132"/>
      <c r="R114" s="132"/>
      <c r="W114" s="132"/>
      <c r="Z114" s="132"/>
      <c r="AA114" s="134"/>
      <c r="AB114" s="135"/>
      <c r="AF114" s="132"/>
      <c r="AG114" s="134"/>
    </row>
    <row r="115">
      <c r="A115" s="2"/>
      <c r="B115" s="91"/>
      <c r="C115" s="2"/>
      <c r="H115" s="132"/>
      <c r="J115" s="133"/>
      <c r="M115" s="132"/>
      <c r="R115" s="132"/>
      <c r="W115" s="132"/>
      <c r="Z115" s="132"/>
      <c r="AA115" s="134"/>
      <c r="AB115" s="135"/>
      <c r="AF115" s="132"/>
      <c r="AG115" s="134"/>
    </row>
    <row r="116">
      <c r="A116" s="2"/>
      <c r="B116" s="91"/>
      <c r="C116" s="2"/>
      <c r="H116" s="132"/>
      <c r="J116" s="133"/>
      <c r="M116" s="132"/>
      <c r="R116" s="132"/>
      <c r="W116" s="132"/>
      <c r="Z116" s="132"/>
      <c r="AA116" s="134"/>
      <c r="AB116" s="135"/>
      <c r="AF116" s="132"/>
      <c r="AG116" s="134"/>
    </row>
    <row r="117">
      <c r="A117" s="2"/>
      <c r="B117" s="91"/>
      <c r="C117" s="2"/>
      <c r="H117" s="132"/>
      <c r="J117" s="133"/>
      <c r="M117" s="132"/>
      <c r="R117" s="132"/>
      <c r="W117" s="132"/>
      <c r="Z117" s="132"/>
      <c r="AA117" s="134"/>
      <c r="AB117" s="135"/>
      <c r="AF117" s="132"/>
      <c r="AG117" s="134"/>
    </row>
    <row r="118">
      <c r="A118" s="2"/>
      <c r="B118" s="91"/>
      <c r="C118" s="2"/>
      <c r="H118" s="132"/>
      <c r="J118" s="133"/>
      <c r="M118" s="132"/>
      <c r="R118" s="132"/>
      <c r="W118" s="132"/>
      <c r="Z118" s="132"/>
      <c r="AA118" s="134"/>
      <c r="AB118" s="135"/>
      <c r="AF118" s="132"/>
      <c r="AG118" s="134"/>
    </row>
    <row r="119">
      <c r="A119" s="2"/>
      <c r="B119" s="91"/>
      <c r="C119" s="2"/>
      <c r="H119" s="132"/>
      <c r="J119" s="133"/>
      <c r="M119" s="132"/>
      <c r="R119" s="132"/>
      <c r="W119" s="132"/>
      <c r="Z119" s="132"/>
      <c r="AA119" s="134"/>
      <c r="AB119" s="135"/>
      <c r="AF119" s="132"/>
      <c r="AG119" s="134"/>
    </row>
    <row r="120">
      <c r="A120" s="2"/>
      <c r="B120" s="91"/>
      <c r="C120" s="2"/>
      <c r="H120" s="132"/>
      <c r="J120" s="133"/>
      <c r="M120" s="132"/>
      <c r="R120" s="132"/>
      <c r="W120" s="132"/>
      <c r="Z120" s="132"/>
      <c r="AA120" s="134"/>
      <c r="AB120" s="135"/>
      <c r="AF120" s="132"/>
      <c r="AG120" s="134"/>
    </row>
    <row r="121">
      <c r="A121" s="2"/>
      <c r="B121" s="91"/>
      <c r="C121" s="2"/>
      <c r="H121" s="132"/>
      <c r="J121" s="133"/>
      <c r="M121" s="132"/>
      <c r="R121" s="132"/>
      <c r="W121" s="132"/>
      <c r="Z121" s="132"/>
      <c r="AA121" s="134"/>
      <c r="AB121" s="135"/>
      <c r="AF121" s="132"/>
      <c r="AG121" s="134"/>
    </row>
    <row r="122">
      <c r="A122" s="2"/>
      <c r="B122" s="91"/>
      <c r="C122" s="2"/>
      <c r="H122" s="132"/>
      <c r="J122" s="133"/>
      <c r="M122" s="132"/>
      <c r="R122" s="132"/>
      <c r="W122" s="132"/>
      <c r="Z122" s="132"/>
      <c r="AA122" s="134"/>
      <c r="AB122" s="135"/>
      <c r="AF122" s="132"/>
      <c r="AG122" s="134"/>
    </row>
    <row r="123">
      <c r="A123" s="2"/>
      <c r="B123" s="91"/>
      <c r="C123" s="2"/>
      <c r="H123" s="132"/>
      <c r="J123" s="133"/>
      <c r="M123" s="132"/>
      <c r="R123" s="132"/>
      <c r="W123" s="132"/>
      <c r="Z123" s="132"/>
      <c r="AA123" s="134"/>
      <c r="AB123" s="135"/>
      <c r="AF123" s="132"/>
      <c r="AG123" s="134"/>
    </row>
    <row r="124">
      <c r="A124" s="2"/>
      <c r="B124" s="91"/>
      <c r="C124" s="2"/>
      <c r="H124" s="132"/>
      <c r="J124" s="133"/>
      <c r="M124" s="132"/>
      <c r="R124" s="132"/>
      <c r="W124" s="132"/>
      <c r="Z124" s="132"/>
      <c r="AA124" s="134"/>
      <c r="AB124" s="135"/>
      <c r="AF124" s="132"/>
      <c r="AG124" s="134"/>
    </row>
    <row r="125">
      <c r="A125" s="2"/>
      <c r="B125" s="91"/>
      <c r="C125" s="2"/>
      <c r="H125" s="132"/>
      <c r="J125" s="133"/>
      <c r="M125" s="132"/>
      <c r="R125" s="132"/>
      <c r="W125" s="132"/>
      <c r="Z125" s="132"/>
      <c r="AA125" s="134"/>
      <c r="AB125" s="135"/>
      <c r="AF125" s="132"/>
      <c r="AG125" s="134"/>
    </row>
    <row r="126">
      <c r="A126" s="2"/>
      <c r="B126" s="91"/>
      <c r="C126" s="2"/>
      <c r="H126" s="132"/>
      <c r="J126" s="133"/>
      <c r="M126" s="132"/>
      <c r="R126" s="132"/>
      <c r="W126" s="132"/>
      <c r="Z126" s="132"/>
      <c r="AA126" s="134"/>
      <c r="AB126" s="135"/>
      <c r="AF126" s="132"/>
      <c r="AG126" s="134"/>
    </row>
    <row r="127">
      <c r="A127" s="2"/>
      <c r="B127" s="91"/>
      <c r="C127" s="2"/>
      <c r="H127" s="132"/>
      <c r="J127" s="133"/>
      <c r="M127" s="132"/>
      <c r="R127" s="132"/>
      <c r="W127" s="132"/>
      <c r="Z127" s="132"/>
      <c r="AA127" s="134"/>
      <c r="AB127" s="135"/>
      <c r="AF127" s="132"/>
      <c r="AG127" s="134"/>
    </row>
    <row r="128">
      <c r="A128" s="2"/>
      <c r="B128" s="91"/>
      <c r="C128" s="2"/>
      <c r="H128" s="132"/>
      <c r="J128" s="133"/>
      <c r="M128" s="132"/>
      <c r="R128" s="132"/>
      <c r="W128" s="132"/>
      <c r="Z128" s="132"/>
      <c r="AA128" s="134"/>
      <c r="AB128" s="135"/>
      <c r="AF128" s="132"/>
      <c r="AG128" s="134"/>
    </row>
    <row r="129">
      <c r="A129" s="2"/>
      <c r="B129" s="91"/>
      <c r="C129" s="2"/>
      <c r="H129" s="132"/>
      <c r="J129" s="133"/>
      <c r="M129" s="132"/>
      <c r="R129" s="132"/>
      <c r="W129" s="132"/>
      <c r="Z129" s="132"/>
      <c r="AA129" s="134"/>
      <c r="AB129" s="135"/>
      <c r="AF129" s="132"/>
      <c r="AG129" s="134"/>
    </row>
    <row r="130">
      <c r="A130" s="2"/>
      <c r="B130" s="91"/>
      <c r="C130" s="2"/>
      <c r="H130" s="132"/>
      <c r="J130" s="133"/>
      <c r="M130" s="132"/>
      <c r="R130" s="132"/>
      <c r="W130" s="132"/>
      <c r="Z130" s="132"/>
      <c r="AA130" s="134"/>
      <c r="AB130" s="135"/>
      <c r="AF130" s="132"/>
      <c r="AG130" s="134"/>
    </row>
    <row r="131">
      <c r="A131" s="2"/>
      <c r="B131" s="91"/>
      <c r="C131" s="2"/>
      <c r="H131" s="132"/>
      <c r="J131" s="133"/>
      <c r="M131" s="132"/>
      <c r="R131" s="132"/>
      <c r="W131" s="132"/>
      <c r="Z131" s="132"/>
      <c r="AA131" s="134"/>
      <c r="AB131" s="135"/>
      <c r="AF131" s="132"/>
      <c r="AG131" s="134"/>
    </row>
    <row r="132">
      <c r="A132" s="2"/>
      <c r="B132" s="91"/>
      <c r="C132" s="2"/>
      <c r="H132" s="132"/>
      <c r="J132" s="133"/>
      <c r="M132" s="132"/>
      <c r="R132" s="132"/>
      <c r="W132" s="132"/>
      <c r="Z132" s="132"/>
      <c r="AA132" s="134"/>
      <c r="AB132" s="135"/>
      <c r="AF132" s="132"/>
      <c r="AG132" s="134"/>
    </row>
    <row r="133">
      <c r="A133" s="2"/>
      <c r="B133" s="91"/>
      <c r="C133" s="2"/>
      <c r="H133" s="132"/>
      <c r="J133" s="133"/>
      <c r="M133" s="132"/>
      <c r="R133" s="132"/>
      <c r="W133" s="132"/>
      <c r="Z133" s="132"/>
      <c r="AA133" s="134"/>
      <c r="AB133" s="135"/>
      <c r="AF133" s="132"/>
      <c r="AG133" s="134"/>
    </row>
    <row r="134">
      <c r="A134" s="2"/>
      <c r="B134" s="91"/>
      <c r="C134" s="2"/>
      <c r="H134" s="132"/>
      <c r="J134" s="133"/>
      <c r="M134" s="132"/>
      <c r="R134" s="132"/>
      <c r="W134" s="132"/>
      <c r="Z134" s="132"/>
      <c r="AA134" s="134"/>
      <c r="AB134" s="135"/>
      <c r="AF134" s="132"/>
      <c r="AG134" s="134"/>
    </row>
    <row r="135">
      <c r="A135" s="2"/>
      <c r="B135" s="91"/>
      <c r="C135" s="2"/>
      <c r="H135" s="132"/>
      <c r="J135" s="133"/>
      <c r="M135" s="132"/>
      <c r="R135" s="132"/>
      <c r="W135" s="132"/>
      <c r="Z135" s="132"/>
      <c r="AA135" s="134"/>
      <c r="AB135" s="135"/>
      <c r="AF135" s="132"/>
      <c r="AG135" s="134"/>
    </row>
    <row r="136">
      <c r="A136" s="2"/>
      <c r="B136" s="91"/>
      <c r="C136" s="2"/>
      <c r="H136" s="132"/>
      <c r="J136" s="133"/>
      <c r="M136" s="132"/>
      <c r="R136" s="132"/>
      <c r="W136" s="132"/>
      <c r="Z136" s="132"/>
      <c r="AA136" s="134"/>
      <c r="AB136" s="135"/>
      <c r="AF136" s="132"/>
      <c r="AG136" s="134"/>
    </row>
    <row r="137">
      <c r="A137" s="2"/>
      <c r="B137" s="91"/>
      <c r="C137" s="2"/>
      <c r="H137" s="132"/>
      <c r="J137" s="133"/>
      <c r="M137" s="132"/>
      <c r="R137" s="132"/>
      <c r="W137" s="132"/>
      <c r="Z137" s="132"/>
      <c r="AA137" s="134"/>
      <c r="AB137" s="135"/>
      <c r="AF137" s="132"/>
      <c r="AG137" s="134"/>
    </row>
    <row r="138">
      <c r="A138" s="2"/>
      <c r="B138" s="91"/>
      <c r="C138" s="2"/>
      <c r="H138" s="132"/>
      <c r="J138" s="133"/>
      <c r="M138" s="132"/>
      <c r="R138" s="132"/>
      <c r="W138" s="132"/>
      <c r="Z138" s="132"/>
      <c r="AA138" s="134"/>
      <c r="AB138" s="135"/>
      <c r="AF138" s="132"/>
      <c r="AG138" s="134"/>
    </row>
    <row r="139">
      <c r="A139" s="2"/>
      <c r="B139" s="91"/>
      <c r="C139" s="2"/>
      <c r="H139" s="132"/>
      <c r="J139" s="133"/>
      <c r="M139" s="132"/>
      <c r="R139" s="132"/>
      <c r="W139" s="132"/>
      <c r="Z139" s="132"/>
      <c r="AA139" s="134"/>
      <c r="AB139" s="135"/>
      <c r="AF139" s="132"/>
      <c r="AG139" s="134"/>
    </row>
    <row r="140">
      <c r="A140" s="2"/>
      <c r="B140" s="91"/>
      <c r="C140" s="2"/>
      <c r="H140" s="132"/>
      <c r="J140" s="133"/>
      <c r="M140" s="132"/>
      <c r="R140" s="132"/>
      <c r="W140" s="132"/>
      <c r="Z140" s="132"/>
      <c r="AA140" s="134"/>
      <c r="AB140" s="135"/>
      <c r="AF140" s="132"/>
      <c r="AG140" s="134"/>
    </row>
    <row r="141">
      <c r="A141" s="2"/>
      <c r="B141" s="91"/>
      <c r="C141" s="2"/>
      <c r="H141" s="132"/>
      <c r="J141" s="133"/>
      <c r="M141" s="132"/>
      <c r="R141" s="132"/>
      <c r="W141" s="132"/>
      <c r="Z141" s="132"/>
      <c r="AA141" s="134"/>
      <c r="AB141" s="135"/>
      <c r="AF141" s="132"/>
      <c r="AG141" s="134"/>
    </row>
    <row r="142">
      <c r="A142" s="2"/>
      <c r="B142" s="91"/>
      <c r="C142" s="2"/>
      <c r="H142" s="132"/>
      <c r="J142" s="133"/>
      <c r="M142" s="132"/>
      <c r="R142" s="132"/>
      <c r="W142" s="132"/>
      <c r="Z142" s="132"/>
      <c r="AA142" s="134"/>
      <c r="AB142" s="135"/>
      <c r="AF142" s="132"/>
      <c r="AG142" s="134"/>
    </row>
    <row r="143">
      <c r="A143" s="2"/>
      <c r="B143" s="91"/>
      <c r="C143" s="2"/>
      <c r="H143" s="132"/>
      <c r="J143" s="133"/>
      <c r="M143" s="132"/>
      <c r="R143" s="132"/>
      <c r="W143" s="132"/>
      <c r="Z143" s="132"/>
      <c r="AA143" s="134"/>
      <c r="AB143" s="135"/>
      <c r="AF143" s="132"/>
      <c r="AG143" s="134"/>
    </row>
    <row r="144">
      <c r="A144" s="2"/>
      <c r="B144" s="91"/>
      <c r="C144" s="2"/>
      <c r="H144" s="132"/>
      <c r="J144" s="133"/>
      <c r="M144" s="132"/>
      <c r="R144" s="132"/>
      <c r="W144" s="132"/>
      <c r="Z144" s="132"/>
      <c r="AA144" s="134"/>
      <c r="AB144" s="135"/>
      <c r="AF144" s="132"/>
      <c r="AG144" s="134"/>
    </row>
    <row r="145">
      <c r="A145" s="2"/>
      <c r="B145" s="91"/>
      <c r="C145" s="2"/>
      <c r="H145" s="132"/>
      <c r="J145" s="133"/>
      <c r="M145" s="132"/>
      <c r="R145" s="132"/>
      <c r="W145" s="132"/>
      <c r="Z145" s="132"/>
      <c r="AA145" s="134"/>
      <c r="AB145" s="135"/>
      <c r="AF145" s="132"/>
      <c r="AG145" s="134"/>
    </row>
    <row r="146">
      <c r="A146" s="2"/>
      <c r="B146" s="91"/>
      <c r="C146" s="2"/>
      <c r="H146" s="132"/>
      <c r="J146" s="133"/>
      <c r="M146" s="132"/>
      <c r="R146" s="132"/>
      <c r="W146" s="132"/>
      <c r="Z146" s="132"/>
      <c r="AA146" s="134"/>
      <c r="AB146" s="135"/>
      <c r="AF146" s="132"/>
      <c r="AG146" s="134"/>
    </row>
    <row r="147">
      <c r="A147" s="2"/>
      <c r="B147" s="91"/>
      <c r="C147" s="2"/>
      <c r="H147" s="132"/>
      <c r="J147" s="133"/>
      <c r="M147" s="132"/>
      <c r="R147" s="132"/>
      <c r="W147" s="132"/>
      <c r="Z147" s="132"/>
      <c r="AA147" s="134"/>
      <c r="AB147" s="135"/>
      <c r="AF147" s="132"/>
      <c r="AG147" s="134"/>
    </row>
    <row r="148">
      <c r="A148" s="2"/>
      <c r="B148" s="91"/>
      <c r="C148" s="2"/>
      <c r="H148" s="132"/>
      <c r="J148" s="133"/>
      <c r="M148" s="132"/>
      <c r="R148" s="132"/>
      <c r="W148" s="132"/>
      <c r="Z148" s="132"/>
      <c r="AA148" s="134"/>
      <c r="AB148" s="135"/>
      <c r="AF148" s="132"/>
      <c r="AG148" s="134"/>
    </row>
    <row r="149">
      <c r="A149" s="2"/>
      <c r="B149" s="91"/>
      <c r="C149" s="2"/>
      <c r="H149" s="132"/>
      <c r="J149" s="133"/>
      <c r="M149" s="132"/>
      <c r="R149" s="132"/>
      <c r="W149" s="132"/>
      <c r="Z149" s="132"/>
      <c r="AA149" s="134"/>
      <c r="AB149" s="135"/>
      <c r="AF149" s="132"/>
      <c r="AG149" s="134"/>
    </row>
    <row r="150">
      <c r="A150" s="2"/>
      <c r="B150" s="91"/>
      <c r="C150" s="2"/>
      <c r="H150" s="132"/>
      <c r="J150" s="133"/>
      <c r="M150" s="132"/>
      <c r="R150" s="132"/>
      <c r="W150" s="132"/>
      <c r="Z150" s="132"/>
      <c r="AA150" s="134"/>
      <c r="AB150" s="135"/>
      <c r="AF150" s="132"/>
      <c r="AG150" s="134"/>
    </row>
    <row r="151">
      <c r="A151" s="2"/>
      <c r="B151" s="91"/>
      <c r="C151" s="2"/>
      <c r="H151" s="132"/>
      <c r="J151" s="133"/>
      <c r="M151" s="132"/>
      <c r="R151" s="132"/>
      <c r="W151" s="132"/>
      <c r="Z151" s="132"/>
      <c r="AA151" s="134"/>
      <c r="AB151" s="135"/>
      <c r="AF151" s="132"/>
      <c r="AG151" s="134"/>
    </row>
    <row r="152">
      <c r="A152" s="2"/>
      <c r="B152" s="91"/>
      <c r="C152" s="2"/>
      <c r="H152" s="132"/>
      <c r="J152" s="133"/>
      <c r="M152" s="132"/>
      <c r="R152" s="132"/>
      <c r="W152" s="132"/>
      <c r="Z152" s="132"/>
      <c r="AA152" s="134"/>
      <c r="AB152" s="135"/>
      <c r="AF152" s="132"/>
      <c r="AG152" s="134"/>
    </row>
    <row r="153">
      <c r="A153" s="2"/>
      <c r="B153" s="91"/>
      <c r="C153" s="2"/>
      <c r="H153" s="132"/>
      <c r="J153" s="133"/>
      <c r="M153" s="132"/>
      <c r="R153" s="132"/>
      <c r="W153" s="132"/>
      <c r="Z153" s="132"/>
      <c r="AA153" s="134"/>
      <c r="AB153" s="135"/>
      <c r="AF153" s="132"/>
      <c r="AG153" s="134"/>
    </row>
    <row r="154">
      <c r="A154" s="2"/>
      <c r="B154" s="91"/>
      <c r="C154" s="2"/>
      <c r="H154" s="132"/>
      <c r="J154" s="133"/>
      <c r="M154" s="132"/>
      <c r="R154" s="132"/>
      <c r="W154" s="132"/>
      <c r="Z154" s="132"/>
      <c r="AA154" s="134"/>
      <c r="AB154" s="135"/>
      <c r="AF154" s="132"/>
      <c r="AG154" s="134"/>
    </row>
    <row r="155">
      <c r="A155" s="2"/>
      <c r="B155" s="91"/>
      <c r="C155" s="2"/>
      <c r="H155" s="132"/>
      <c r="J155" s="133"/>
      <c r="M155" s="132"/>
      <c r="R155" s="132"/>
      <c r="W155" s="132"/>
      <c r="Z155" s="132"/>
      <c r="AA155" s="134"/>
      <c r="AB155" s="135"/>
      <c r="AF155" s="132"/>
      <c r="AG155" s="134"/>
    </row>
    <row r="156">
      <c r="A156" s="2"/>
      <c r="B156" s="91"/>
      <c r="C156" s="2"/>
      <c r="H156" s="132"/>
      <c r="J156" s="133"/>
      <c r="M156" s="132"/>
      <c r="R156" s="132"/>
      <c r="W156" s="132"/>
      <c r="Z156" s="132"/>
      <c r="AA156" s="134"/>
      <c r="AB156" s="135"/>
      <c r="AF156" s="132"/>
      <c r="AG156" s="134"/>
    </row>
    <row r="157">
      <c r="A157" s="2"/>
      <c r="B157" s="91"/>
      <c r="C157" s="2"/>
      <c r="H157" s="132"/>
      <c r="J157" s="133"/>
      <c r="M157" s="132"/>
      <c r="R157" s="132"/>
      <c r="W157" s="132"/>
      <c r="Z157" s="132"/>
      <c r="AA157" s="134"/>
      <c r="AB157" s="135"/>
      <c r="AF157" s="132"/>
      <c r="AG157" s="134"/>
    </row>
    <row r="158">
      <c r="A158" s="2"/>
      <c r="B158" s="91"/>
      <c r="C158" s="2"/>
      <c r="H158" s="132"/>
      <c r="J158" s="133"/>
      <c r="M158" s="132"/>
      <c r="R158" s="132"/>
      <c r="W158" s="132"/>
      <c r="Z158" s="132"/>
      <c r="AA158" s="134"/>
      <c r="AB158" s="135"/>
      <c r="AF158" s="132"/>
      <c r="AG158" s="134"/>
    </row>
    <row r="159">
      <c r="A159" s="2"/>
      <c r="B159" s="91"/>
      <c r="C159" s="2"/>
      <c r="H159" s="132"/>
      <c r="J159" s="133"/>
      <c r="M159" s="132"/>
      <c r="R159" s="132"/>
      <c r="W159" s="132"/>
      <c r="Z159" s="132"/>
      <c r="AA159" s="134"/>
      <c r="AB159" s="135"/>
      <c r="AF159" s="132"/>
      <c r="AG159" s="134"/>
    </row>
    <row r="160">
      <c r="A160" s="2"/>
      <c r="B160" s="91"/>
      <c r="C160" s="2"/>
      <c r="H160" s="132"/>
      <c r="J160" s="133"/>
      <c r="M160" s="132"/>
      <c r="R160" s="132"/>
      <c r="W160" s="132"/>
      <c r="Z160" s="132"/>
      <c r="AA160" s="134"/>
      <c r="AB160" s="135"/>
      <c r="AF160" s="132"/>
      <c r="AG160" s="134"/>
    </row>
    <row r="161">
      <c r="A161" s="2"/>
      <c r="B161" s="91"/>
      <c r="C161" s="2"/>
      <c r="H161" s="132"/>
      <c r="J161" s="133"/>
      <c r="M161" s="132"/>
      <c r="R161" s="132"/>
      <c r="W161" s="132"/>
      <c r="Z161" s="132"/>
      <c r="AA161" s="134"/>
      <c r="AB161" s="135"/>
      <c r="AF161" s="132"/>
      <c r="AG161" s="134"/>
    </row>
    <row r="162">
      <c r="A162" s="2"/>
      <c r="B162" s="91"/>
      <c r="C162" s="2"/>
      <c r="H162" s="132"/>
      <c r="J162" s="133"/>
      <c r="M162" s="132"/>
      <c r="R162" s="132"/>
      <c r="W162" s="132"/>
      <c r="Z162" s="132"/>
      <c r="AA162" s="134"/>
      <c r="AB162" s="135"/>
      <c r="AF162" s="132"/>
      <c r="AG162" s="134"/>
    </row>
    <row r="163">
      <c r="A163" s="2"/>
      <c r="B163" s="91"/>
      <c r="C163" s="2"/>
      <c r="H163" s="132"/>
      <c r="J163" s="133"/>
      <c r="M163" s="132"/>
      <c r="R163" s="132"/>
      <c r="W163" s="132"/>
      <c r="Z163" s="132"/>
      <c r="AA163" s="134"/>
      <c r="AB163" s="135"/>
      <c r="AF163" s="132"/>
      <c r="AG163" s="134"/>
    </row>
    <row r="164">
      <c r="A164" s="2"/>
      <c r="B164" s="91"/>
      <c r="C164" s="2"/>
      <c r="H164" s="132"/>
      <c r="J164" s="133"/>
      <c r="M164" s="132"/>
      <c r="R164" s="132"/>
      <c r="W164" s="132"/>
      <c r="Z164" s="132"/>
      <c r="AA164" s="134"/>
      <c r="AB164" s="135"/>
      <c r="AF164" s="132"/>
      <c r="AG164" s="134"/>
    </row>
    <row r="165">
      <c r="A165" s="2"/>
      <c r="B165" s="91"/>
      <c r="C165" s="2"/>
      <c r="H165" s="132"/>
      <c r="J165" s="133"/>
      <c r="M165" s="132"/>
      <c r="R165" s="132"/>
      <c r="W165" s="132"/>
      <c r="Z165" s="132"/>
      <c r="AA165" s="134"/>
      <c r="AB165" s="135"/>
      <c r="AF165" s="132"/>
      <c r="AG165" s="134"/>
    </row>
    <row r="166">
      <c r="A166" s="2"/>
      <c r="B166" s="91"/>
      <c r="C166" s="2"/>
      <c r="H166" s="132"/>
      <c r="J166" s="133"/>
      <c r="M166" s="132"/>
      <c r="R166" s="132"/>
      <c r="W166" s="132"/>
      <c r="Z166" s="132"/>
      <c r="AA166" s="134"/>
      <c r="AB166" s="135"/>
      <c r="AF166" s="132"/>
      <c r="AG166" s="134"/>
    </row>
    <row r="167">
      <c r="A167" s="2"/>
      <c r="B167" s="91"/>
      <c r="C167" s="2"/>
      <c r="H167" s="132"/>
      <c r="J167" s="133"/>
      <c r="M167" s="132"/>
      <c r="R167" s="132"/>
      <c r="W167" s="132"/>
      <c r="Z167" s="132"/>
      <c r="AA167" s="134"/>
      <c r="AB167" s="135"/>
      <c r="AF167" s="132"/>
      <c r="AG167" s="134"/>
    </row>
    <row r="168">
      <c r="A168" s="2"/>
      <c r="B168" s="91"/>
      <c r="C168" s="2"/>
      <c r="H168" s="132"/>
      <c r="J168" s="133"/>
      <c r="M168" s="132"/>
      <c r="R168" s="132"/>
      <c r="W168" s="132"/>
      <c r="Z168" s="132"/>
      <c r="AA168" s="134"/>
      <c r="AB168" s="135"/>
      <c r="AF168" s="132"/>
      <c r="AG168" s="134"/>
    </row>
    <row r="169">
      <c r="A169" s="2"/>
      <c r="B169" s="91"/>
      <c r="C169" s="2"/>
      <c r="H169" s="132"/>
      <c r="J169" s="133"/>
      <c r="M169" s="132"/>
      <c r="R169" s="132"/>
      <c r="W169" s="132"/>
      <c r="Z169" s="132"/>
      <c r="AA169" s="134"/>
      <c r="AB169" s="135"/>
      <c r="AF169" s="132"/>
      <c r="AG169" s="134"/>
    </row>
    <row r="170">
      <c r="A170" s="2"/>
      <c r="B170" s="91"/>
      <c r="C170" s="2"/>
      <c r="H170" s="132"/>
      <c r="J170" s="133"/>
      <c r="M170" s="132"/>
      <c r="R170" s="132"/>
      <c r="W170" s="132"/>
      <c r="Z170" s="132"/>
      <c r="AA170" s="134"/>
      <c r="AB170" s="135"/>
      <c r="AF170" s="132"/>
      <c r="AG170" s="134"/>
    </row>
    <row r="171">
      <c r="A171" s="2"/>
      <c r="B171" s="91"/>
      <c r="C171" s="2"/>
      <c r="H171" s="132"/>
      <c r="J171" s="133"/>
      <c r="M171" s="132"/>
      <c r="R171" s="132"/>
      <c r="W171" s="132"/>
      <c r="Z171" s="132"/>
      <c r="AA171" s="134"/>
      <c r="AB171" s="135"/>
      <c r="AF171" s="132"/>
      <c r="AG171" s="134"/>
    </row>
    <row r="172">
      <c r="A172" s="2"/>
      <c r="B172" s="91"/>
      <c r="C172" s="2"/>
      <c r="H172" s="132"/>
      <c r="J172" s="133"/>
      <c r="M172" s="132"/>
      <c r="R172" s="132"/>
      <c r="W172" s="132"/>
      <c r="Z172" s="132"/>
      <c r="AA172" s="134"/>
      <c r="AB172" s="135"/>
      <c r="AF172" s="132"/>
      <c r="AG172" s="134"/>
    </row>
    <row r="173">
      <c r="A173" s="2"/>
      <c r="B173" s="91"/>
      <c r="C173" s="2"/>
      <c r="H173" s="132"/>
      <c r="J173" s="133"/>
      <c r="M173" s="132"/>
      <c r="R173" s="132"/>
      <c r="W173" s="132"/>
      <c r="Z173" s="132"/>
      <c r="AA173" s="134"/>
      <c r="AB173" s="135"/>
      <c r="AF173" s="132"/>
      <c r="AG173" s="134"/>
    </row>
    <row r="174">
      <c r="A174" s="2"/>
      <c r="B174" s="91"/>
      <c r="C174" s="2"/>
      <c r="H174" s="132"/>
      <c r="J174" s="133"/>
      <c r="M174" s="132"/>
      <c r="R174" s="132"/>
      <c r="W174" s="132"/>
      <c r="Z174" s="132"/>
      <c r="AA174" s="134"/>
      <c r="AB174" s="135"/>
      <c r="AF174" s="132"/>
      <c r="AG174" s="134"/>
    </row>
    <row r="175">
      <c r="A175" s="2"/>
      <c r="B175" s="91"/>
      <c r="C175" s="2"/>
      <c r="H175" s="132"/>
      <c r="J175" s="133"/>
      <c r="M175" s="132"/>
      <c r="R175" s="132"/>
      <c r="W175" s="132"/>
      <c r="Z175" s="132"/>
      <c r="AA175" s="134"/>
      <c r="AB175" s="135"/>
      <c r="AF175" s="132"/>
      <c r="AG175" s="134"/>
    </row>
    <row r="176">
      <c r="A176" s="2"/>
      <c r="B176" s="91"/>
      <c r="C176" s="2"/>
      <c r="H176" s="132"/>
      <c r="J176" s="133"/>
      <c r="M176" s="132"/>
      <c r="R176" s="132"/>
      <c r="W176" s="132"/>
      <c r="Z176" s="132"/>
      <c r="AA176" s="134"/>
      <c r="AB176" s="135"/>
      <c r="AF176" s="132"/>
      <c r="AG176" s="134"/>
    </row>
    <row r="177">
      <c r="A177" s="2"/>
      <c r="B177" s="91"/>
      <c r="C177" s="2"/>
      <c r="H177" s="132"/>
      <c r="J177" s="133"/>
      <c r="M177" s="132"/>
      <c r="R177" s="132"/>
      <c r="W177" s="132"/>
      <c r="Z177" s="132"/>
      <c r="AA177" s="134"/>
      <c r="AB177" s="135"/>
      <c r="AF177" s="132"/>
      <c r="AG177" s="134"/>
    </row>
    <row r="178">
      <c r="A178" s="2"/>
      <c r="B178" s="91"/>
      <c r="C178" s="2"/>
      <c r="H178" s="132"/>
      <c r="J178" s="133"/>
      <c r="M178" s="132"/>
      <c r="R178" s="132"/>
      <c r="W178" s="132"/>
      <c r="Z178" s="132"/>
      <c r="AA178" s="134"/>
      <c r="AB178" s="135"/>
      <c r="AF178" s="132"/>
      <c r="AG178" s="134"/>
    </row>
    <row r="179">
      <c r="A179" s="2"/>
      <c r="B179" s="91"/>
      <c r="C179" s="2"/>
      <c r="H179" s="132"/>
      <c r="J179" s="133"/>
      <c r="M179" s="132"/>
      <c r="R179" s="132"/>
      <c r="W179" s="132"/>
      <c r="Z179" s="132"/>
      <c r="AA179" s="134"/>
      <c r="AB179" s="135"/>
      <c r="AF179" s="132"/>
      <c r="AG179" s="134"/>
    </row>
    <row r="180">
      <c r="A180" s="2"/>
      <c r="B180" s="91"/>
      <c r="C180" s="2"/>
      <c r="H180" s="132"/>
      <c r="J180" s="133"/>
      <c r="M180" s="132"/>
      <c r="R180" s="132"/>
      <c r="W180" s="132"/>
      <c r="Z180" s="132"/>
      <c r="AA180" s="134"/>
      <c r="AB180" s="135"/>
      <c r="AF180" s="132"/>
      <c r="AG180" s="134"/>
    </row>
    <row r="181">
      <c r="A181" s="2"/>
      <c r="B181" s="91"/>
      <c r="C181" s="2"/>
      <c r="H181" s="132"/>
      <c r="J181" s="133"/>
      <c r="M181" s="132"/>
      <c r="R181" s="132"/>
      <c r="W181" s="132"/>
      <c r="Z181" s="132"/>
      <c r="AA181" s="134"/>
      <c r="AB181" s="135"/>
      <c r="AF181" s="132"/>
      <c r="AG181" s="134"/>
    </row>
    <row r="182">
      <c r="A182" s="2"/>
      <c r="B182" s="91"/>
      <c r="C182" s="2"/>
      <c r="H182" s="132"/>
      <c r="J182" s="133"/>
      <c r="M182" s="132"/>
      <c r="R182" s="132"/>
      <c r="W182" s="132"/>
      <c r="Z182" s="132"/>
      <c r="AA182" s="134"/>
      <c r="AB182" s="135"/>
      <c r="AF182" s="132"/>
      <c r="AG182" s="134"/>
    </row>
    <row r="183">
      <c r="A183" s="2"/>
      <c r="B183" s="91"/>
      <c r="C183" s="2"/>
      <c r="H183" s="132"/>
      <c r="J183" s="133"/>
      <c r="M183" s="132"/>
      <c r="R183" s="132"/>
      <c r="W183" s="132"/>
      <c r="Z183" s="132"/>
      <c r="AA183" s="134"/>
      <c r="AB183" s="135"/>
      <c r="AF183" s="132"/>
      <c r="AG183" s="134"/>
    </row>
    <row r="184">
      <c r="A184" s="2"/>
      <c r="B184" s="91"/>
      <c r="C184" s="2"/>
      <c r="H184" s="132"/>
      <c r="J184" s="133"/>
      <c r="M184" s="132"/>
      <c r="R184" s="132"/>
      <c r="W184" s="132"/>
      <c r="Z184" s="132"/>
      <c r="AA184" s="134"/>
      <c r="AB184" s="135"/>
      <c r="AF184" s="132"/>
      <c r="AG184" s="134"/>
    </row>
    <row r="185">
      <c r="A185" s="2"/>
      <c r="B185" s="91"/>
      <c r="C185" s="2"/>
      <c r="H185" s="132"/>
      <c r="J185" s="133"/>
      <c r="M185" s="132"/>
      <c r="R185" s="132"/>
      <c r="W185" s="132"/>
      <c r="Z185" s="132"/>
      <c r="AA185" s="134"/>
      <c r="AB185" s="135"/>
      <c r="AF185" s="132"/>
      <c r="AG185" s="134"/>
    </row>
    <row r="186">
      <c r="A186" s="2"/>
      <c r="B186" s="91"/>
      <c r="C186" s="2"/>
      <c r="H186" s="132"/>
      <c r="J186" s="133"/>
      <c r="M186" s="132"/>
      <c r="R186" s="132"/>
      <c r="W186" s="132"/>
      <c r="Z186" s="132"/>
      <c r="AA186" s="134"/>
      <c r="AB186" s="135"/>
      <c r="AF186" s="132"/>
      <c r="AG186" s="134"/>
    </row>
    <row r="187">
      <c r="A187" s="2"/>
      <c r="B187" s="91"/>
      <c r="C187" s="2"/>
      <c r="H187" s="132"/>
      <c r="J187" s="133"/>
      <c r="M187" s="132"/>
      <c r="R187" s="132"/>
      <c r="W187" s="132"/>
      <c r="Z187" s="132"/>
      <c r="AA187" s="134"/>
      <c r="AB187" s="135"/>
      <c r="AF187" s="132"/>
      <c r="AG187" s="134"/>
    </row>
    <row r="188">
      <c r="A188" s="2"/>
      <c r="B188" s="91"/>
      <c r="C188" s="2"/>
      <c r="H188" s="132"/>
      <c r="J188" s="133"/>
      <c r="M188" s="132"/>
      <c r="R188" s="132"/>
      <c r="W188" s="132"/>
      <c r="Z188" s="132"/>
      <c r="AA188" s="134"/>
      <c r="AB188" s="135"/>
      <c r="AF188" s="132"/>
      <c r="AG188" s="134"/>
    </row>
    <row r="189">
      <c r="A189" s="2"/>
      <c r="B189" s="91"/>
      <c r="C189" s="2"/>
      <c r="H189" s="132"/>
      <c r="J189" s="133"/>
      <c r="M189" s="132"/>
      <c r="R189" s="132"/>
      <c r="W189" s="132"/>
      <c r="Z189" s="132"/>
      <c r="AA189" s="134"/>
      <c r="AB189" s="135"/>
      <c r="AF189" s="132"/>
      <c r="AG189" s="134"/>
    </row>
    <row r="190">
      <c r="A190" s="2"/>
      <c r="B190" s="91"/>
      <c r="C190" s="2"/>
      <c r="H190" s="132"/>
      <c r="J190" s="133"/>
      <c r="M190" s="132"/>
      <c r="R190" s="132"/>
      <c r="W190" s="132"/>
      <c r="Z190" s="132"/>
      <c r="AA190" s="134"/>
      <c r="AB190" s="135"/>
      <c r="AF190" s="132"/>
      <c r="AG190" s="134"/>
    </row>
    <row r="191">
      <c r="A191" s="2"/>
      <c r="B191" s="91"/>
      <c r="C191" s="2"/>
      <c r="H191" s="132"/>
      <c r="J191" s="133"/>
      <c r="M191" s="132"/>
      <c r="R191" s="132"/>
      <c r="W191" s="132"/>
      <c r="Z191" s="132"/>
      <c r="AA191" s="134"/>
      <c r="AB191" s="135"/>
      <c r="AF191" s="132"/>
      <c r="AG191" s="134"/>
    </row>
    <row r="192">
      <c r="A192" s="2"/>
      <c r="B192" s="91"/>
      <c r="C192" s="2"/>
      <c r="H192" s="132"/>
      <c r="J192" s="133"/>
      <c r="M192" s="132"/>
      <c r="R192" s="132"/>
      <c r="W192" s="132"/>
      <c r="Z192" s="132"/>
      <c r="AA192" s="134"/>
      <c r="AB192" s="135"/>
      <c r="AF192" s="132"/>
      <c r="AG192" s="134"/>
    </row>
    <row r="193">
      <c r="A193" s="2"/>
      <c r="B193" s="91"/>
      <c r="C193" s="2"/>
      <c r="H193" s="132"/>
      <c r="J193" s="133"/>
      <c r="M193" s="132"/>
      <c r="R193" s="132"/>
      <c r="W193" s="132"/>
      <c r="Z193" s="132"/>
      <c r="AA193" s="134"/>
      <c r="AB193" s="135"/>
      <c r="AF193" s="132"/>
      <c r="AG193" s="134"/>
    </row>
    <row r="194">
      <c r="A194" s="2"/>
      <c r="B194" s="91"/>
      <c r="C194" s="2"/>
      <c r="H194" s="132"/>
      <c r="J194" s="133"/>
      <c r="M194" s="132"/>
      <c r="R194" s="132"/>
      <c r="W194" s="132"/>
      <c r="Z194" s="132"/>
      <c r="AA194" s="134"/>
      <c r="AB194" s="135"/>
      <c r="AF194" s="132"/>
      <c r="AG194" s="134"/>
    </row>
    <row r="195">
      <c r="A195" s="2"/>
      <c r="B195" s="91"/>
      <c r="C195" s="2"/>
      <c r="H195" s="132"/>
      <c r="J195" s="133"/>
      <c r="M195" s="132"/>
      <c r="R195" s="132"/>
      <c r="W195" s="132"/>
      <c r="Z195" s="132"/>
      <c r="AA195" s="134"/>
      <c r="AB195" s="135"/>
      <c r="AF195" s="132"/>
      <c r="AG195" s="134"/>
    </row>
    <row r="196">
      <c r="A196" s="2"/>
      <c r="B196" s="91"/>
      <c r="C196" s="2"/>
      <c r="H196" s="132"/>
      <c r="J196" s="133"/>
      <c r="M196" s="132"/>
      <c r="R196" s="132"/>
      <c r="W196" s="132"/>
      <c r="Z196" s="132"/>
      <c r="AA196" s="134"/>
      <c r="AB196" s="135"/>
      <c r="AF196" s="132"/>
      <c r="AG196" s="134"/>
    </row>
    <row r="197">
      <c r="A197" s="2"/>
      <c r="B197" s="91"/>
      <c r="C197" s="2"/>
      <c r="H197" s="132"/>
      <c r="J197" s="133"/>
      <c r="M197" s="132"/>
      <c r="R197" s="132"/>
      <c r="W197" s="132"/>
      <c r="Z197" s="132"/>
      <c r="AA197" s="134"/>
      <c r="AB197" s="135"/>
      <c r="AF197" s="132"/>
      <c r="AG197" s="134"/>
    </row>
    <row r="198">
      <c r="A198" s="2"/>
      <c r="B198" s="91"/>
      <c r="C198" s="2"/>
      <c r="H198" s="132"/>
      <c r="J198" s="133"/>
      <c r="M198" s="132"/>
      <c r="R198" s="132"/>
      <c r="W198" s="132"/>
      <c r="Z198" s="132"/>
      <c r="AA198" s="134"/>
      <c r="AB198" s="135"/>
      <c r="AF198" s="132"/>
      <c r="AG198" s="134"/>
    </row>
    <row r="199">
      <c r="A199" s="2"/>
      <c r="B199" s="91"/>
      <c r="C199" s="2"/>
      <c r="H199" s="132"/>
      <c r="J199" s="133"/>
      <c r="M199" s="132"/>
      <c r="R199" s="132"/>
      <c r="W199" s="132"/>
      <c r="Z199" s="132"/>
      <c r="AA199" s="134"/>
      <c r="AB199" s="135"/>
      <c r="AF199" s="132"/>
      <c r="AG199" s="134"/>
    </row>
    <row r="200">
      <c r="A200" s="2"/>
      <c r="B200" s="91"/>
      <c r="C200" s="2"/>
      <c r="H200" s="132"/>
      <c r="J200" s="133"/>
      <c r="M200" s="132"/>
      <c r="R200" s="132"/>
      <c r="W200" s="132"/>
      <c r="Z200" s="132"/>
      <c r="AA200" s="134"/>
      <c r="AB200" s="135"/>
      <c r="AF200" s="132"/>
      <c r="AG200" s="134"/>
    </row>
    <row r="201">
      <c r="A201" s="2"/>
      <c r="B201" s="91"/>
      <c r="C201" s="2"/>
      <c r="H201" s="132"/>
      <c r="J201" s="133"/>
      <c r="M201" s="132"/>
      <c r="R201" s="132"/>
      <c r="W201" s="132"/>
      <c r="Z201" s="132"/>
      <c r="AA201" s="134"/>
      <c r="AB201" s="135"/>
      <c r="AF201" s="132"/>
      <c r="AG201" s="134"/>
    </row>
    <row r="202">
      <c r="A202" s="2"/>
      <c r="B202" s="91"/>
      <c r="C202" s="2"/>
      <c r="H202" s="132"/>
      <c r="J202" s="133"/>
      <c r="M202" s="132"/>
      <c r="R202" s="132"/>
      <c r="W202" s="132"/>
      <c r="Z202" s="132"/>
      <c r="AA202" s="134"/>
      <c r="AB202" s="135"/>
      <c r="AF202" s="132"/>
      <c r="AG202" s="134"/>
    </row>
    <row r="203">
      <c r="A203" s="2"/>
      <c r="B203" s="91"/>
      <c r="C203" s="2"/>
      <c r="H203" s="132"/>
      <c r="J203" s="133"/>
      <c r="M203" s="132"/>
      <c r="R203" s="132"/>
      <c r="W203" s="132"/>
      <c r="Z203" s="132"/>
      <c r="AA203" s="134"/>
      <c r="AB203" s="135"/>
      <c r="AF203" s="132"/>
      <c r="AG203" s="134"/>
    </row>
    <row r="204">
      <c r="A204" s="2"/>
      <c r="B204" s="91"/>
      <c r="C204" s="2"/>
      <c r="H204" s="132"/>
      <c r="J204" s="133"/>
      <c r="M204" s="132"/>
      <c r="R204" s="132"/>
      <c r="W204" s="132"/>
      <c r="Z204" s="132"/>
      <c r="AA204" s="134"/>
      <c r="AB204" s="135"/>
      <c r="AF204" s="132"/>
      <c r="AG204" s="134"/>
    </row>
    <row r="205">
      <c r="A205" s="2"/>
      <c r="B205" s="91"/>
      <c r="C205" s="2"/>
      <c r="H205" s="132"/>
      <c r="J205" s="133"/>
      <c r="M205" s="132"/>
      <c r="R205" s="132"/>
      <c r="W205" s="132"/>
      <c r="Z205" s="132"/>
      <c r="AA205" s="134"/>
      <c r="AB205" s="135"/>
      <c r="AF205" s="132"/>
      <c r="AG205" s="134"/>
    </row>
    <row r="206">
      <c r="A206" s="2"/>
      <c r="B206" s="91"/>
      <c r="C206" s="2"/>
      <c r="H206" s="132"/>
      <c r="J206" s="133"/>
      <c r="M206" s="132"/>
      <c r="R206" s="132"/>
      <c r="W206" s="132"/>
      <c r="Z206" s="132"/>
      <c r="AA206" s="134"/>
      <c r="AB206" s="135"/>
      <c r="AF206" s="132"/>
      <c r="AG206" s="134"/>
    </row>
    <row r="207">
      <c r="A207" s="2"/>
      <c r="B207" s="91"/>
      <c r="C207" s="2"/>
      <c r="H207" s="132"/>
      <c r="J207" s="133"/>
      <c r="M207" s="132"/>
      <c r="R207" s="132"/>
      <c r="W207" s="132"/>
      <c r="Z207" s="132"/>
      <c r="AA207" s="134"/>
      <c r="AB207" s="135"/>
      <c r="AF207" s="132"/>
      <c r="AG207" s="134"/>
    </row>
    <row r="208">
      <c r="A208" s="2"/>
      <c r="B208" s="91"/>
      <c r="C208" s="2"/>
      <c r="H208" s="132"/>
      <c r="J208" s="133"/>
      <c r="M208" s="132"/>
      <c r="R208" s="132"/>
      <c r="W208" s="132"/>
      <c r="Z208" s="132"/>
      <c r="AA208" s="134"/>
      <c r="AB208" s="135"/>
      <c r="AF208" s="132"/>
      <c r="AG208" s="134"/>
    </row>
    <row r="209">
      <c r="A209" s="2"/>
      <c r="B209" s="91"/>
      <c r="C209" s="2"/>
      <c r="H209" s="132"/>
      <c r="J209" s="133"/>
      <c r="M209" s="132"/>
      <c r="R209" s="132"/>
      <c r="W209" s="132"/>
      <c r="Z209" s="132"/>
      <c r="AA209" s="134"/>
      <c r="AB209" s="135"/>
      <c r="AF209" s="132"/>
      <c r="AG209" s="134"/>
    </row>
    <row r="210">
      <c r="A210" s="2"/>
      <c r="B210" s="91"/>
      <c r="C210" s="2"/>
      <c r="H210" s="132"/>
      <c r="J210" s="133"/>
      <c r="M210" s="132"/>
      <c r="R210" s="132"/>
      <c r="W210" s="132"/>
      <c r="Z210" s="132"/>
      <c r="AA210" s="134"/>
      <c r="AB210" s="135"/>
      <c r="AF210" s="132"/>
      <c r="AG210" s="134"/>
    </row>
    <row r="211">
      <c r="A211" s="2"/>
      <c r="B211" s="91"/>
      <c r="C211" s="2"/>
      <c r="H211" s="132"/>
      <c r="J211" s="133"/>
      <c r="M211" s="132"/>
      <c r="R211" s="132"/>
      <c r="W211" s="132"/>
      <c r="Z211" s="132"/>
      <c r="AA211" s="134"/>
      <c r="AB211" s="135"/>
      <c r="AF211" s="132"/>
      <c r="AG211" s="134"/>
    </row>
    <row r="212">
      <c r="A212" s="2"/>
      <c r="B212" s="91"/>
      <c r="C212" s="2"/>
      <c r="H212" s="132"/>
      <c r="J212" s="133"/>
      <c r="M212" s="132"/>
      <c r="R212" s="132"/>
      <c r="W212" s="132"/>
      <c r="Z212" s="132"/>
      <c r="AA212" s="134"/>
      <c r="AB212" s="135"/>
      <c r="AF212" s="132"/>
      <c r="AG212" s="134"/>
    </row>
    <row r="213">
      <c r="A213" s="2"/>
      <c r="B213" s="91"/>
      <c r="C213" s="2"/>
      <c r="H213" s="132"/>
      <c r="J213" s="133"/>
      <c r="M213" s="132"/>
      <c r="R213" s="132"/>
      <c r="W213" s="132"/>
      <c r="Z213" s="132"/>
      <c r="AA213" s="134"/>
      <c r="AB213" s="135"/>
      <c r="AF213" s="132"/>
      <c r="AG213" s="134"/>
    </row>
    <row r="214">
      <c r="A214" s="2"/>
      <c r="B214" s="91"/>
      <c r="C214" s="2"/>
      <c r="H214" s="132"/>
      <c r="J214" s="133"/>
      <c r="M214" s="132"/>
      <c r="R214" s="132"/>
      <c r="W214" s="132"/>
      <c r="Z214" s="132"/>
      <c r="AA214" s="134"/>
      <c r="AB214" s="135"/>
      <c r="AF214" s="132"/>
      <c r="AG214" s="134"/>
    </row>
    <row r="215">
      <c r="A215" s="2"/>
      <c r="B215" s="91"/>
      <c r="C215" s="2"/>
      <c r="H215" s="132"/>
      <c r="J215" s="133"/>
      <c r="M215" s="132"/>
      <c r="R215" s="132"/>
      <c r="W215" s="132"/>
      <c r="Z215" s="132"/>
      <c r="AA215" s="134"/>
      <c r="AB215" s="135"/>
      <c r="AF215" s="132"/>
      <c r="AG215" s="134"/>
    </row>
    <row r="216">
      <c r="A216" s="2"/>
      <c r="B216" s="91"/>
      <c r="C216" s="2"/>
      <c r="H216" s="132"/>
      <c r="J216" s="133"/>
      <c r="M216" s="132"/>
      <c r="R216" s="132"/>
      <c r="W216" s="132"/>
      <c r="Z216" s="132"/>
      <c r="AA216" s="134"/>
      <c r="AB216" s="135"/>
      <c r="AF216" s="132"/>
      <c r="AG216" s="134"/>
    </row>
    <row r="217">
      <c r="A217" s="2"/>
      <c r="B217" s="91"/>
      <c r="C217" s="2"/>
      <c r="H217" s="132"/>
      <c r="J217" s="133"/>
      <c r="M217" s="132"/>
      <c r="R217" s="132"/>
      <c r="W217" s="132"/>
      <c r="Z217" s="132"/>
      <c r="AA217" s="134"/>
      <c r="AB217" s="135"/>
      <c r="AF217" s="132"/>
      <c r="AG217" s="134"/>
    </row>
    <row r="218">
      <c r="A218" s="2"/>
      <c r="B218" s="91"/>
      <c r="C218" s="2"/>
      <c r="H218" s="132"/>
      <c r="J218" s="133"/>
      <c r="M218" s="132"/>
      <c r="R218" s="132"/>
      <c r="W218" s="132"/>
      <c r="Z218" s="132"/>
      <c r="AA218" s="134"/>
      <c r="AB218" s="135"/>
      <c r="AF218" s="132"/>
      <c r="AG218" s="134"/>
    </row>
    <row r="219">
      <c r="A219" s="2"/>
      <c r="B219" s="91"/>
      <c r="C219" s="2"/>
      <c r="H219" s="132"/>
      <c r="J219" s="133"/>
      <c r="M219" s="132"/>
      <c r="R219" s="132"/>
      <c r="W219" s="132"/>
      <c r="Z219" s="132"/>
      <c r="AA219" s="134"/>
      <c r="AB219" s="135"/>
      <c r="AF219" s="132"/>
      <c r="AG219" s="134"/>
    </row>
    <row r="220">
      <c r="A220" s="2"/>
      <c r="B220" s="91"/>
      <c r="C220" s="2"/>
      <c r="H220" s="132"/>
      <c r="J220" s="133"/>
      <c r="M220" s="132"/>
      <c r="R220" s="132"/>
      <c r="W220" s="132"/>
      <c r="Z220" s="132"/>
      <c r="AA220" s="134"/>
      <c r="AB220" s="135"/>
      <c r="AF220" s="132"/>
      <c r="AG220" s="134"/>
    </row>
    <row r="221">
      <c r="A221" s="2"/>
      <c r="B221" s="91"/>
      <c r="C221" s="2"/>
      <c r="H221" s="132"/>
      <c r="J221" s="133"/>
      <c r="M221" s="132"/>
      <c r="R221" s="132"/>
      <c r="W221" s="132"/>
      <c r="Z221" s="132"/>
      <c r="AA221" s="134"/>
      <c r="AB221" s="135"/>
      <c r="AF221" s="132"/>
      <c r="AG221" s="134"/>
    </row>
    <row r="222">
      <c r="A222" s="2"/>
      <c r="B222" s="91"/>
      <c r="C222" s="2"/>
      <c r="H222" s="132"/>
      <c r="J222" s="133"/>
      <c r="M222" s="132"/>
      <c r="R222" s="132"/>
      <c r="W222" s="132"/>
      <c r="Z222" s="132"/>
      <c r="AA222" s="134"/>
      <c r="AB222" s="135"/>
      <c r="AF222" s="132"/>
      <c r="AG222" s="134"/>
    </row>
    <row r="223">
      <c r="A223" s="2"/>
      <c r="B223" s="91"/>
      <c r="C223" s="2"/>
      <c r="H223" s="132"/>
      <c r="J223" s="133"/>
      <c r="M223" s="132"/>
      <c r="R223" s="132"/>
      <c r="W223" s="132"/>
      <c r="Z223" s="132"/>
      <c r="AA223" s="134"/>
      <c r="AB223" s="135"/>
      <c r="AF223" s="132"/>
      <c r="AG223" s="134"/>
    </row>
    <row r="224">
      <c r="A224" s="2"/>
      <c r="B224" s="91"/>
      <c r="C224" s="2"/>
      <c r="H224" s="132"/>
      <c r="J224" s="133"/>
      <c r="M224" s="132"/>
      <c r="R224" s="132"/>
      <c r="W224" s="132"/>
      <c r="Z224" s="132"/>
      <c r="AA224" s="134"/>
      <c r="AB224" s="135"/>
      <c r="AF224" s="132"/>
      <c r="AG224" s="134"/>
    </row>
    <row r="225">
      <c r="A225" s="2"/>
      <c r="B225" s="91"/>
      <c r="C225" s="2"/>
      <c r="H225" s="132"/>
      <c r="J225" s="133"/>
      <c r="M225" s="132"/>
      <c r="R225" s="132"/>
      <c r="W225" s="132"/>
      <c r="Z225" s="132"/>
      <c r="AA225" s="134"/>
      <c r="AB225" s="135"/>
      <c r="AF225" s="132"/>
      <c r="AG225" s="134"/>
    </row>
    <row r="226">
      <c r="A226" s="2"/>
      <c r="B226" s="91"/>
      <c r="C226" s="2"/>
      <c r="H226" s="132"/>
      <c r="J226" s="133"/>
      <c r="M226" s="132"/>
      <c r="R226" s="132"/>
      <c r="W226" s="132"/>
      <c r="Z226" s="132"/>
      <c r="AA226" s="134"/>
      <c r="AB226" s="135"/>
      <c r="AF226" s="132"/>
      <c r="AG226" s="134"/>
    </row>
    <row r="227">
      <c r="A227" s="2"/>
      <c r="B227" s="91"/>
      <c r="C227" s="2"/>
      <c r="H227" s="132"/>
      <c r="J227" s="133"/>
      <c r="M227" s="132"/>
      <c r="R227" s="132"/>
      <c r="W227" s="132"/>
      <c r="Z227" s="132"/>
      <c r="AA227" s="134"/>
      <c r="AB227" s="135"/>
      <c r="AF227" s="132"/>
      <c r="AG227" s="134"/>
    </row>
    <row r="228">
      <c r="A228" s="2"/>
      <c r="B228" s="91"/>
      <c r="C228" s="2"/>
      <c r="H228" s="132"/>
      <c r="J228" s="133"/>
      <c r="M228" s="132"/>
      <c r="R228" s="132"/>
      <c r="W228" s="132"/>
      <c r="Z228" s="132"/>
      <c r="AA228" s="134"/>
      <c r="AB228" s="135"/>
      <c r="AF228" s="132"/>
      <c r="AG228" s="134"/>
    </row>
    <row r="229">
      <c r="A229" s="2"/>
      <c r="B229" s="91"/>
      <c r="C229" s="2"/>
      <c r="H229" s="132"/>
      <c r="J229" s="133"/>
      <c r="M229" s="132"/>
      <c r="R229" s="132"/>
      <c r="W229" s="132"/>
      <c r="Z229" s="132"/>
      <c r="AA229" s="134"/>
      <c r="AB229" s="135"/>
      <c r="AF229" s="132"/>
      <c r="AG229" s="134"/>
    </row>
    <row r="230">
      <c r="A230" s="2"/>
      <c r="B230" s="91"/>
      <c r="C230" s="2"/>
      <c r="H230" s="132"/>
      <c r="J230" s="133"/>
      <c r="M230" s="132"/>
      <c r="R230" s="132"/>
      <c r="W230" s="132"/>
      <c r="Z230" s="132"/>
      <c r="AA230" s="134"/>
      <c r="AB230" s="135"/>
      <c r="AF230" s="132"/>
      <c r="AG230" s="134"/>
    </row>
    <row r="231">
      <c r="A231" s="2"/>
      <c r="B231" s="91"/>
      <c r="C231" s="2"/>
      <c r="H231" s="132"/>
      <c r="J231" s="133"/>
      <c r="M231" s="132"/>
      <c r="R231" s="132"/>
      <c r="W231" s="132"/>
      <c r="Z231" s="132"/>
      <c r="AA231" s="134"/>
      <c r="AB231" s="135"/>
      <c r="AF231" s="132"/>
      <c r="AG231" s="134"/>
    </row>
    <row r="232">
      <c r="A232" s="2"/>
      <c r="B232" s="91"/>
      <c r="C232" s="2"/>
      <c r="H232" s="132"/>
      <c r="J232" s="133"/>
      <c r="M232" s="132"/>
      <c r="R232" s="132"/>
      <c r="W232" s="132"/>
      <c r="Z232" s="132"/>
      <c r="AA232" s="134"/>
      <c r="AB232" s="135"/>
      <c r="AF232" s="132"/>
      <c r="AG232" s="134"/>
    </row>
    <row r="233">
      <c r="A233" s="2"/>
      <c r="B233" s="91"/>
      <c r="C233" s="2"/>
      <c r="H233" s="132"/>
      <c r="J233" s="133"/>
      <c r="M233" s="132"/>
      <c r="R233" s="132"/>
      <c r="W233" s="132"/>
      <c r="Z233" s="132"/>
      <c r="AA233" s="134"/>
      <c r="AB233" s="135"/>
      <c r="AF233" s="132"/>
      <c r="AG233" s="134"/>
    </row>
    <row r="234">
      <c r="A234" s="2"/>
      <c r="B234" s="91"/>
      <c r="C234" s="2"/>
      <c r="H234" s="132"/>
      <c r="J234" s="133"/>
      <c r="M234" s="132"/>
      <c r="R234" s="132"/>
      <c r="W234" s="132"/>
      <c r="Z234" s="132"/>
      <c r="AA234" s="134"/>
      <c r="AB234" s="135"/>
      <c r="AF234" s="132"/>
      <c r="AG234" s="134"/>
    </row>
    <row r="235">
      <c r="A235" s="2"/>
      <c r="B235" s="91"/>
      <c r="C235" s="2"/>
      <c r="H235" s="132"/>
      <c r="J235" s="133"/>
      <c r="M235" s="132"/>
      <c r="R235" s="132"/>
      <c r="W235" s="132"/>
      <c r="Z235" s="132"/>
      <c r="AA235" s="134"/>
      <c r="AB235" s="135"/>
      <c r="AF235" s="132"/>
      <c r="AG235" s="134"/>
    </row>
    <row r="236">
      <c r="A236" s="2"/>
      <c r="B236" s="91"/>
      <c r="C236" s="2"/>
      <c r="H236" s="132"/>
      <c r="J236" s="133"/>
      <c r="M236" s="132"/>
      <c r="R236" s="132"/>
      <c r="W236" s="132"/>
      <c r="Z236" s="132"/>
      <c r="AA236" s="134"/>
      <c r="AB236" s="135"/>
      <c r="AF236" s="132"/>
      <c r="AG236" s="134"/>
    </row>
    <row r="237">
      <c r="A237" s="2"/>
      <c r="B237" s="91"/>
      <c r="C237" s="2"/>
      <c r="H237" s="132"/>
      <c r="J237" s="133"/>
      <c r="M237" s="132"/>
      <c r="R237" s="132"/>
      <c r="W237" s="132"/>
      <c r="Z237" s="132"/>
      <c r="AA237" s="134"/>
      <c r="AB237" s="135"/>
      <c r="AF237" s="132"/>
      <c r="AG237" s="134"/>
    </row>
    <row r="238">
      <c r="A238" s="2"/>
      <c r="B238" s="91"/>
      <c r="C238" s="2"/>
      <c r="H238" s="132"/>
      <c r="J238" s="133"/>
      <c r="M238" s="132"/>
      <c r="R238" s="132"/>
      <c r="W238" s="132"/>
      <c r="Z238" s="132"/>
      <c r="AA238" s="134"/>
      <c r="AB238" s="135"/>
      <c r="AF238" s="132"/>
      <c r="AG238" s="134"/>
    </row>
    <row r="239">
      <c r="A239" s="2"/>
      <c r="B239" s="91"/>
      <c r="C239" s="2"/>
      <c r="H239" s="132"/>
      <c r="J239" s="133"/>
      <c r="M239" s="132"/>
      <c r="R239" s="132"/>
      <c r="W239" s="132"/>
      <c r="Z239" s="132"/>
      <c r="AA239" s="134"/>
      <c r="AB239" s="135"/>
      <c r="AF239" s="132"/>
      <c r="AG239" s="134"/>
    </row>
    <row r="240">
      <c r="A240" s="2"/>
      <c r="B240" s="91"/>
      <c r="C240" s="2"/>
      <c r="H240" s="132"/>
      <c r="J240" s="133"/>
      <c r="M240" s="132"/>
      <c r="R240" s="132"/>
      <c r="W240" s="132"/>
      <c r="Z240" s="132"/>
      <c r="AA240" s="134"/>
      <c r="AB240" s="135"/>
      <c r="AF240" s="132"/>
      <c r="AG240" s="134"/>
    </row>
    <row r="241">
      <c r="A241" s="2"/>
      <c r="B241" s="91"/>
      <c r="C241" s="2"/>
      <c r="H241" s="132"/>
      <c r="J241" s="133"/>
      <c r="M241" s="132"/>
      <c r="R241" s="132"/>
      <c r="W241" s="132"/>
      <c r="Z241" s="132"/>
      <c r="AA241" s="134"/>
      <c r="AB241" s="135"/>
      <c r="AF241" s="132"/>
      <c r="AG241" s="134"/>
    </row>
    <row r="242">
      <c r="A242" s="2"/>
      <c r="B242" s="91"/>
      <c r="C242" s="2"/>
      <c r="H242" s="132"/>
      <c r="J242" s="133"/>
      <c r="M242" s="132"/>
      <c r="R242" s="132"/>
      <c r="W242" s="132"/>
      <c r="Z242" s="132"/>
      <c r="AA242" s="134"/>
      <c r="AB242" s="135"/>
      <c r="AF242" s="132"/>
      <c r="AG242" s="134"/>
    </row>
    <row r="243">
      <c r="A243" s="2"/>
      <c r="B243" s="91"/>
      <c r="C243" s="2"/>
      <c r="H243" s="132"/>
      <c r="J243" s="133"/>
      <c r="M243" s="132"/>
      <c r="R243" s="132"/>
      <c r="W243" s="132"/>
      <c r="Z243" s="132"/>
      <c r="AA243" s="134"/>
      <c r="AB243" s="135"/>
      <c r="AF243" s="132"/>
      <c r="AG243" s="134"/>
    </row>
    <row r="244">
      <c r="A244" s="2"/>
      <c r="B244" s="91"/>
      <c r="C244" s="2"/>
      <c r="H244" s="132"/>
      <c r="J244" s="133"/>
      <c r="M244" s="132"/>
      <c r="R244" s="132"/>
      <c r="W244" s="132"/>
      <c r="Z244" s="132"/>
      <c r="AA244" s="134"/>
      <c r="AB244" s="135"/>
      <c r="AF244" s="132"/>
      <c r="AG244" s="134"/>
    </row>
    <row r="245">
      <c r="A245" s="2"/>
      <c r="B245" s="91"/>
      <c r="C245" s="2"/>
      <c r="H245" s="132"/>
      <c r="J245" s="133"/>
      <c r="M245" s="132"/>
      <c r="R245" s="132"/>
      <c r="W245" s="132"/>
      <c r="Z245" s="132"/>
      <c r="AA245" s="134"/>
      <c r="AB245" s="135"/>
      <c r="AF245" s="132"/>
      <c r="AG245" s="134"/>
    </row>
    <row r="246">
      <c r="A246" s="2"/>
      <c r="B246" s="91"/>
      <c r="C246" s="2"/>
      <c r="H246" s="132"/>
      <c r="J246" s="133"/>
      <c r="M246" s="132"/>
      <c r="R246" s="132"/>
      <c r="W246" s="132"/>
      <c r="Z246" s="132"/>
      <c r="AA246" s="134"/>
      <c r="AB246" s="135"/>
      <c r="AF246" s="132"/>
      <c r="AG246" s="134"/>
    </row>
    <row r="247">
      <c r="A247" s="2"/>
      <c r="B247" s="91"/>
      <c r="C247" s="2"/>
      <c r="H247" s="132"/>
      <c r="J247" s="133"/>
      <c r="M247" s="132"/>
      <c r="R247" s="132"/>
      <c r="W247" s="132"/>
      <c r="Z247" s="132"/>
      <c r="AA247" s="134"/>
      <c r="AB247" s="135"/>
      <c r="AF247" s="132"/>
      <c r="AG247" s="134"/>
    </row>
    <row r="248">
      <c r="A248" s="2"/>
      <c r="B248" s="91"/>
      <c r="C248" s="2"/>
      <c r="H248" s="132"/>
      <c r="J248" s="133"/>
      <c r="M248" s="132"/>
      <c r="R248" s="132"/>
      <c r="W248" s="132"/>
      <c r="Z248" s="132"/>
      <c r="AA248" s="134"/>
      <c r="AB248" s="135"/>
      <c r="AF248" s="132"/>
      <c r="AG248" s="134"/>
    </row>
    <row r="249">
      <c r="A249" s="2"/>
      <c r="B249" s="91"/>
      <c r="C249" s="2"/>
      <c r="H249" s="132"/>
      <c r="J249" s="133"/>
      <c r="M249" s="132"/>
      <c r="R249" s="132"/>
      <c r="W249" s="132"/>
      <c r="Z249" s="132"/>
      <c r="AA249" s="134"/>
      <c r="AB249" s="135"/>
      <c r="AF249" s="132"/>
      <c r="AG249" s="134"/>
    </row>
    <row r="250">
      <c r="A250" s="2"/>
      <c r="B250" s="91"/>
      <c r="C250" s="2"/>
      <c r="H250" s="132"/>
      <c r="J250" s="133"/>
      <c r="M250" s="132"/>
      <c r="R250" s="132"/>
      <c r="W250" s="132"/>
      <c r="Z250" s="132"/>
      <c r="AA250" s="134"/>
      <c r="AB250" s="135"/>
      <c r="AF250" s="132"/>
      <c r="AG250" s="134"/>
    </row>
    <row r="251">
      <c r="A251" s="2"/>
      <c r="B251" s="91"/>
      <c r="C251" s="2"/>
      <c r="H251" s="132"/>
      <c r="J251" s="133"/>
      <c r="M251" s="132"/>
      <c r="R251" s="132"/>
      <c r="W251" s="132"/>
      <c r="Z251" s="132"/>
      <c r="AA251" s="134"/>
      <c r="AB251" s="135"/>
      <c r="AF251" s="132"/>
      <c r="AG251" s="134"/>
    </row>
    <row r="252">
      <c r="A252" s="2"/>
      <c r="B252" s="91"/>
      <c r="C252" s="2"/>
      <c r="H252" s="132"/>
      <c r="J252" s="133"/>
      <c r="M252" s="132"/>
      <c r="R252" s="132"/>
      <c r="W252" s="132"/>
      <c r="Z252" s="132"/>
      <c r="AA252" s="134"/>
      <c r="AB252" s="135"/>
      <c r="AF252" s="132"/>
      <c r="AG252" s="134"/>
    </row>
    <row r="253">
      <c r="A253" s="2"/>
      <c r="B253" s="91"/>
      <c r="C253" s="2"/>
      <c r="H253" s="132"/>
      <c r="J253" s="133"/>
      <c r="M253" s="132"/>
      <c r="R253" s="132"/>
      <c r="W253" s="132"/>
      <c r="Z253" s="132"/>
      <c r="AA253" s="134"/>
      <c r="AB253" s="135"/>
      <c r="AF253" s="132"/>
      <c r="AG253" s="134"/>
    </row>
    <row r="254">
      <c r="A254" s="2"/>
      <c r="B254" s="91"/>
      <c r="C254" s="2"/>
      <c r="H254" s="132"/>
      <c r="J254" s="133"/>
      <c r="M254" s="132"/>
      <c r="R254" s="132"/>
      <c r="W254" s="132"/>
      <c r="Z254" s="132"/>
      <c r="AA254" s="134"/>
      <c r="AB254" s="135"/>
      <c r="AF254" s="132"/>
      <c r="AG254" s="134"/>
    </row>
    <row r="255">
      <c r="A255" s="2"/>
      <c r="B255" s="91"/>
      <c r="C255" s="2"/>
      <c r="H255" s="132"/>
      <c r="J255" s="133"/>
      <c r="M255" s="132"/>
      <c r="R255" s="132"/>
      <c r="W255" s="132"/>
      <c r="Z255" s="132"/>
      <c r="AA255" s="134"/>
      <c r="AB255" s="135"/>
      <c r="AF255" s="132"/>
      <c r="AG255" s="134"/>
    </row>
    <row r="256">
      <c r="A256" s="2"/>
      <c r="B256" s="91"/>
      <c r="C256" s="2"/>
      <c r="H256" s="132"/>
      <c r="J256" s="133"/>
      <c r="M256" s="132"/>
      <c r="R256" s="132"/>
      <c r="W256" s="132"/>
      <c r="Z256" s="132"/>
      <c r="AA256" s="134"/>
      <c r="AB256" s="135"/>
      <c r="AF256" s="132"/>
      <c r="AG256" s="134"/>
    </row>
    <row r="257">
      <c r="A257" s="2"/>
      <c r="B257" s="91"/>
      <c r="C257" s="2"/>
      <c r="H257" s="132"/>
      <c r="J257" s="133"/>
      <c r="M257" s="132"/>
      <c r="R257" s="132"/>
      <c r="W257" s="132"/>
      <c r="Z257" s="132"/>
      <c r="AA257" s="134"/>
      <c r="AB257" s="135"/>
      <c r="AF257" s="132"/>
      <c r="AG257" s="134"/>
    </row>
    <row r="258">
      <c r="A258" s="2"/>
      <c r="B258" s="91"/>
      <c r="C258" s="2"/>
      <c r="H258" s="132"/>
      <c r="J258" s="133"/>
      <c r="M258" s="132"/>
      <c r="R258" s="132"/>
      <c r="W258" s="132"/>
      <c r="Z258" s="132"/>
      <c r="AA258" s="134"/>
      <c r="AB258" s="135"/>
      <c r="AF258" s="132"/>
      <c r="AG258" s="134"/>
    </row>
    <row r="259">
      <c r="A259" s="2"/>
      <c r="B259" s="91"/>
      <c r="C259" s="2"/>
      <c r="H259" s="132"/>
      <c r="J259" s="133"/>
      <c r="M259" s="132"/>
      <c r="R259" s="132"/>
      <c r="W259" s="132"/>
      <c r="Z259" s="132"/>
      <c r="AA259" s="134"/>
      <c r="AB259" s="135"/>
      <c r="AF259" s="132"/>
      <c r="AG259" s="134"/>
    </row>
    <row r="260">
      <c r="A260" s="2"/>
      <c r="B260" s="91"/>
      <c r="C260" s="2"/>
      <c r="H260" s="132"/>
      <c r="J260" s="133"/>
      <c r="M260" s="132"/>
      <c r="R260" s="132"/>
      <c r="W260" s="132"/>
      <c r="Z260" s="132"/>
      <c r="AA260" s="134"/>
      <c r="AB260" s="135"/>
      <c r="AF260" s="132"/>
      <c r="AG260" s="134"/>
    </row>
    <row r="261">
      <c r="A261" s="2"/>
      <c r="B261" s="91"/>
      <c r="C261" s="2"/>
      <c r="H261" s="132"/>
      <c r="J261" s="133"/>
      <c r="M261" s="132"/>
      <c r="R261" s="132"/>
      <c r="W261" s="132"/>
      <c r="Z261" s="132"/>
      <c r="AA261" s="134"/>
      <c r="AB261" s="135"/>
      <c r="AF261" s="132"/>
      <c r="AG261" s="134"/>
    </row>
    <row r="262">
      <c r="A262" s="2"/>
      <c r="B262" s="91"/>
      <c r="C262" s="2"/>
      <c r="H262" s="132"/>
      <c r="J262" s="133"/>
      <c r="M262" s="132"/>
      <c r="R262" s="132"/>
      <c r="W262" s="132"/>
      <c r="Z262" s="132"/>
      <c r="AA262" s="134"/>
      <c r="AB262" s="135"/>
      <c r="AF262" s="132"/>
      <c r="AG262" s="134"/>
    </row>
    <row r="263">
      <c r="A263" s="2"/>
      <c r="B263" s="91"/>
      <c r="C263" s="2"/>
      <c r="H263" s="132"/>
      <c r="J263" s="133"/>
      <c r="M263" s="132"/>
      <c r="R263" s="132"/>
      <c r="W263" s="132"/>
      <c r="Z263" s="132"/>
      <c r="AA263" s="134"/>
      <c r="AB263" s="135"/>
      <c r="AF263" s="132"/>
      <c r="AG263" s="134"/>
    </row>
    <row r="264">
      <c r="A264" s="2"/>
      <c r="B264" s="91"/>
      <c r="C264" s="2"/>
      <c r="H264" s="132"/>
      <c r="J264" s="133"/>
      <c r="M264" s="132"/>
      <c r="R264" s="132"/>
      <c r="W264" s="132"/>
      <c r="Z264" s="132"/>
      <c r="AA264" s="134"/>
      <c r="AB264" s="135"/>
      <c r="AF264" s="132"/>
      <c r="AG264" s="134"/>
    </row>
    <row r="265">
      <c r="A265" s="2"/>
      <c r="B265" s="91"/>
      <c r="C265" s="2"/>
      <c r="H265" s="132"/>
      <c r="J265" s="133"/>
      <c r="M265" s="132"/>
      <c r="R265" s="132"/>
      <c r="W265" s="132"/>
      <c r="Z265" s="132"/>
      <c r="AA265" s="134"/>
      <c r="AB265" s="135"/>
      <c r="AF265" s="132"/>
      <c r="AG265" s="134"/>
    </row>
    <row r="266">
      <c r="A266" s="2"/>
      <c r="B266" s="91"/>
      <c r="C266" s="2"/>
      <c r="H266" s="132"/>
      <c r="J266" s="133"/>
      <c r="M266" s="132"/>
      <c r="R266" s="132"/>
      <c r="W266" s="132"/>
      <c r="Z266" s="132"/>
      <c r="AA266" s="134"/>
      <c r="AB266" s="135"/>
      <c r="AF266" s="132"/>
      <c r="AG266" s="134"/>
    </row>
    <row r="267">
      <c r="A267" s="2"/>
      <c r="B267" s="91"/>
      <c r="C267" s="2"/>
      <c r="H267" s="132"/>
      <c r="J267" s="133"/>
      <c r="M267" s="132"/>
      <c r="R267" s="132"/>
      <c r="W267" s="132"/>
      <c r="Z267" s="132"/>
      <c r="AA267" s="134"/>
      <c r="AB267" s="135"/>
      <c r="AF267" s="132"/>
      <c r="AG267" s="134"/>
    </row>
    <row r="268">
      <c r="A268" s="2"/>
      <c r="B268" s="91"/>
      <c r="C268" s="2"/>
      <c r="H268" s="132"/>
      <c r="J268" s="133"/>
      <c r="M268" s="132"/>
      <c r="R268" s="132"/>
      <c r="W268" s="132"/>
      <c r="Z268" s="132"/>
      <c r="AA268" s="134"/>
      <c r="AB268" s="135"/>
      <c r="AF268" s="132"/>
      <c r="AG268" s="134"/>
    </row>
    <row r="269">
      <c r="A269" s="2"/>
      <c r="B269" s="91"/>
      <c r="C269" s="2"/>
      <c r="H269" s="132"/>
      <c r="J269" s="133"/>
      <c r="M269" s="132"/>
      <c r="R269" s="132"/>
      <c r="W269" s="132"/>
      <c r="Z269" s="132"/>
      <c r="AA269" s="134"/>
      <c r="AB269" s="135"/>
      <c r="AF269" s="132"/>
      <c r="AG269" s="134"/>
    </row>
    <row r="270">
      <c r="A270" s="2"/>
      <c r="B270" s="91"/>
      <c r="C270" s="2"/>
      <c r="H270" s="132"/>
      <c r="J270" s="133"/>
      <c r="M270" s="132"/>
      <c r="R270" s="132"/>
      <c r="W270" s="132"/>
      <c r="Z270" s="132"/>
      <c r="AA270" s="134"/>
      <c r="AB270" s="135"/>
      <c r="AF270" s="132"/>
      <c r="AG270" s="134"/>
    </row>
    <row r="271">
      <c r="A271" s="2"/>
      <c r="B271" s="91"/>
      <c r="C271" s="2"/>
      <c r="H271" s="132"/>
      <c r="J271" s="133"/>
      <c r="M271" s="132"/>
      <c r="R271" s="132"/>
      <c r="W271" s="132"/>
      <c r="Z271" s="132"/>
      <c r="AA271" s="134"/>
      <c r="AB271" s="135"/>
      <c r="AF271" s="132"/>
      <c r="AG271" s="134"/>
    </row>
    <row r="272">
      <c r="A272" s="2"/>
      <c r="B272" s="91"/>
      <c r="C272" s="2"/>
      <c r="H272" s="132"/>
      <c r="J272" s="133"/>
      <c r="M272" s="132"/>
      <c r="R272" s="132"/>
      <c r="W272" s="132"/>
      <c r="Z272" s="132"/>
      <c r="AA272" s="134"/>
      <c r="AB272" s="135"/>
      <c r="AF272" s="132"/>
      <c r="AG272" s="134"/>
    </row>
    <row r="273">
      <c r="A273" s="2"/>
      <c r="B273" s="91"/>
      <c r="C273" s="2"/>
      <c r="H273" s="132"/>
      <c r="J273" s="133"/>
      <c r="M273" s="132"/>
      <c r="R273" s="132"/>
      <c r="W273" s="132"/>
      <c r="Z273" s="132"/>
      <c r="AA273" s="134"/>
      <c r="AB273" s="135"/>
      <c r="AF273" s="132"/>
      <c r="AG273" s="134"/>
    </row>
    <row r="274">
      <c r="A274" s="2"/>
      <c r="B274" s="91"/>
      <c r="C274" s="2"/>
      <c r="H274" s="132"/>
      <c r="J274" s="133"/>
      <c r="M274" s="132"/>
      <c r="R274" s="132"/>
      <c r="W274" s="132"/>
      <c r="Z274" s="132"/>
      <c r="AA274" s="134"/>
      <c r="AB274" s="135"/>
      <c r="AF274" s="132"/>
      <c r="AG274" s="134"/>
    </row>
    <row r="275">
      <c r="A275" s="2"/>
      <c r="B275" s="91"/>
      <c r="C275" s="2"/>
      <c r="H275" s="132"/>
      <c r="J275" s="133"/>
      <c r="M275" s="132"/>
      <c r="R275" s="132"/>
      <c r="W275" s="132"/>
      <c r="Z275" s="132"/>
      <c r="AA275" s="134"/>
      <c r="AB275" s="135"/>
      <c r="AF275" s="132"/>
      <c r="AG275" s="134"/>
    </row>
    <row r="276">
      <c r="A276" s="2"/>
      <c r="B276" s="91"/>
      <c r="C276" s="2"/>
      <c r="H276" s="132"/>
      <c r="J276" s="133"/>
      <c r="M276" s="132"/>
      <c r="R276" s="132"/>
      <c r="W276" s="132"/>
      <c r="Z276" s="132"/>
      <c r="AA276" s="134"/>
      <c r="AB276" s="135"/>
      <c r="AF276" s="132"/>
      <c r="AG276" s="134"/>
    </row>
    <row r="277">
      <c r="A277" s="2"/>
      <c r="B277" s="91"/>
      <c r="C277" s="2"/>
      <c r="H277" s="132"/>
      <c r="J277" s="133"/>
      <c r="M277" s="132"/>
      <c r="R277" s="132"/>
      <c r="W277" s="132"/>
      <c r="Z277" s="132"/>
      <c r="AA277" s="134"/>
      <c r="AB277" s="135"/>
      <c r="AF277" s="132"/>
      <c r="AG277" s="134"/>
    </row>
    <row r="278">
      <c r="A278" s="2"/>
      <c r="B278" s="91"/>
      <c r="C278" s="2"/>
      <c r="H278" s="132"/>
      <c r="J278" s="133"/>
      <c r="M278" s="132"/>
      <c r="R278" s="132"/>
      <c r="W278" s="132"/>
      <c r="Z278" s="132"/>
      <c r="AA278" s="134"/>
      <c r="AB278" s="135"/>
      <c r="AF278" s="132"/>
      <c r="AG278" s="134"/>
    </row>
    <row r="279">
      <c r="A279" s="2"/>
      <c r="B279" s="91"/>
      <c r="C279" s="2"/>
      <c r="H279" s="132"/>
      <c r="J279" s="133"/>
      <c r="M279" s="132"/>
      <c r="R279" s="132"/>
      <c r="W279" s="132"/>
      <c r="Z279" s="132"/>
      <c r="AA279" s="134"/>
      <c r="AB279" s="135"/>
      <c r="AF279" s="132"/>
      <c r="AG279" s="134"/>
    </row>
    <row r="280">
      <c r="A280" s="2"/>
      <c r="B280" s="91"/>
      <c r="C280" s="2"/>
      <c r="H280" s="132"/>
      <c r="J280" s="133"/>
      <c r="M280" s="132"/>
      <c r="R280" s="132"/>
      <c r="W280" s="132"/>
      <c r="Z280" s="132"/>
      <c r="AA280" s="134"/>
      <c r="AB280" s="135"/>
      <c r="AF280" s="132"/>
      <c r="AG280" s="134"/>
    </row>
    <row r="281">
      <c r="A281" s="2"/>
      <c r="B281" s="91"/>
      <c r="C281" s="2"/>
      <c r="H281" s="132"/>
      <c r="J281" s="133"/>
      <c r="M281" s="132"/>
      <c r="R281" s="132"/>
      <c r="W281" s="132"/>
      <c r="Z281" s="132"/>
      <c r="AA281" s="134"/>
      <c r="AB281" s="135"/>
      <c r="AF281" s="132"/>
      <c r="AG281" s="134"/>
    </row>
    <row r="282">
      <c r="A282" s="2"/>
      <c r="B282" s="91"/>
      <c r="C282" s="2"/>
      <c r="H282" s="132"/>
      <c r="J282" s="133"/>
      <c r="M282" s="132"/>
      <c r="R282" s="132"/>
      <c r="W282" s="132"/>
      <c r="Z282" s="132"/>
      <c r="AA282" s="134"/>
      <c r="AB282" s="135"/>
      <c r="AF282" s="132"/>
      <c r="AG282" s="134"/>
    </row>
    <row r="283">
      <c r="A283" s="2"/>
      <c r="B283" s="91"/>
      <c r="C283" s="2"/>
      <c r="H283" s="132"/>
      <c r="J283" s="133"/>
      <c r="M283" s="132"/>
      <c r="R283" s="132"/>
      <c r="W283" s="132"/>
      <c r="Z283" s="132"/>
      <c r="AA283" s="134"/>
      <c r="AB283" s="135"/>
      <c r="AF283" s="132"/>
      <c r="AG283" s="134"/>
    </row>
    <row r="284">
      <c r="A284" s="2"/>
      <c r="B284" s="91"/>
      <c r="C284" s="2"/>
      <c r="H284" s="132"/>
      <c r="J284" s="133"/>
      <c r="M284" s="132"/>
      <c r="R284" s="132"/>
      <c r="W284" s="132"/>
      <c r="Z284" s="132"/>
      <c r="AA284" s="134"/>
      <c r="AB284" s="135"/>
      <c r="AF284" s="132"/>
      <c r="AG284" s="134"/>
    </row>
    <row r="285">
      <c r="A285" s="2"/>
      <c r="B285" s="91"/>
      <c r="C285" s="2"/>
      <c r="H285" s="132"/>
      <c r="J285" s="133"/>
      <c r="M285" s="132"/>
      <c r="R285" s="132"/>
      <c r="W285" s="132"/>
      <c r="Z285" s="132"/>
      <c r="AA285" s="134"/>
      <c r="AB285" s="135"/>
      <c r="AF285" s="132"/>
      <c r="AG285" s="134"/>
    </row>
    <row r="286">
      <c r="A286" s="2"/>
      <c r="B286" s="91"/>
      <c r="C286" s="2"/>
      <c r="H286" s="132"/>
      <c r="J286" s="133"/>
      <c r="M286" s="132"/>
      <c r="R286" s="132"/>
      <c r="W286" s="132"/>
      <c r="Z286" s="132"/>
      <c r="AA286" s="134"/>
      <c r="AB286" s="135"/>
      <c r="AF286" s="132"/>
      <c r="AG286" s="134"/>
    </row>
    <row r="287">
      <c r="A287" s="2"/>
      <c r="B287" s="91"/>
      <c r="C287" s="2"/>
      <c r="H287" s="132"/>
      <c r="J287" s="133"/>
      <c r="M287" s="132"/>
      <c r="R287" s="132"/>
      <c r="W287" s="132"/>
      <c r="Z287" s="132"/>
      <c r="AA287" s="134"/>
      <c r="AB287" s="135"/>
      <c r="AF287" s="132"/>
      <c r="AG287" s="134"/>
    </row>
    <row r="288">
      <c r="A288" s="2"/>
      <c r="B288" s="91"/>
      <c r="C288" s="2"/>
      <c r="H288" s="132"/>
      <c r="J288" s="133"/>
      <c r="M288" s="132"/>
      <c r="R288" s="132"/>
      <c r="W288" s="132"/>
      <c r="Z288" s="132"/>
      <c r="AA288" s="134"/>
      <c r="AB288" s="135"/>
      <c r="AF288" s="132"/>
      <c r="AG288" s="134"/>
    </row>
    <row r="289">
      <c r="A289" s="2"/>
      <c r="B289" s="91"/>
      <c r="C289" s="2"/>
      <c r="H289" s="132"/>
      <c r="J289" s="133"/>
      <c r="M289" s="132"/>
      <c r="R289" s="132"/>
      <c r="W289" s="132"/>
      <c r="Z289" s="132"/>
      <c r="AA289" s="134"/>
      <c r="AB289" s="135"/>
      <c r="AF289" s="132"/>
      <c r="AG289" s="134"/>
    </row>
    <row r="290">
      <c r="A290" s="2"/>
      <c r="B290" s="91"/>
      <c r="C290" s="2"/>
      <c r="H290" s="132"/>
      <c r="J290" s="133"/>
      <c r="M290" s="132"/>
      <c r="R290" s="132"/>
      <c r="W290" s="132"/>
      <c r="Z290" s="132"/>
      <c r="AA290" s="134"/>
      <c r="AB290" s="135"/>
      <c r="AF290" s="132"/>
      <c r="AG290" s="134"/>
    </row>
    <row r="291">
      <c r="A291" s="2"/>
      <c r="B291" s="91"/>
      <c r="C291" s="2"/>
      <c r="H291" s="132"/>
      <c r="J291" s="133"/>
      <c r="M291" s="132"/>
      <c r="R291" s="132"/>
      <c r="W291" s="132"/>
      <c r="Z291" s="132"/>
      <c r="AA291" s="134"/>
      <c r="AB291" s="135"/>
      <c r="AF291" s="132"/>
      <c r="AG291" s="134"/>
    </row>
    <row r="292">
      <c r="A292" s="2"/>
      <c r="B292" s="91"/>
      <c r="C292" s="2"/>
      <c r="H292" s="132"/>
      <c r="J292" s="133"/>
      <c r="M292" s="132"/>
      <c r="R292" s="132"/>
      <c r="W292" s="132"/>
      <c r="Z292" s="132"/>
      <c r="AA292" s="134"/>
      <c r="AB292" s="135"/>
      <c r="AF292" s="132"/>
      <c r="AG292" s="134"/>
    </row>
    <row r="293">
      <c r="A293" s="2"/>
      <c r="B293" s="91"/>
      <c r="C293" s="2"/>
      <c r="H293" s="132"/>
      <c r="J293" s="133"/>
      <c r="M293" s="132"/>
      <c r="R293" s="132"/>
      <c r="W293" s="132"/>
      <c r="Z293" s="132"/>
      <c r="AA293" s="134"/>
      <c r="AB293" s="135"/>
      <c r="AF293" s="132"/>
      <c r="AG293" s="134"/>
    </row>
    <row r="294">
      <c r="A294" s="2"/>
      <c r="B294" s="91"/>
      <c r="C294" s="2"/>
      <c r="H294" s="132"/>
      <c r="J294" s="133"/>
      <c r="M294" s="132"/>
      <c r="R294" s="132"/>
      <c r="W294" s="132"/>
      <c r="Z294" s="132"/>
      <c r="AA294" s="134"/>
      <c r="AB294" s="135"/>
      <c r="AF294" s="132"/>
      <c r="AG294" s="134"/>
    </row>
    <row r="295">
      <c r="A295" s="2"/>
      <c r="B295" s="91"/>
      <c r="C295" s="2"/>
      <c r="H295" s="132"/>
      <c r="J295" s="133"/>
      <c r="M295" s="132"/>
      <c r="R295" s="132"/>
      <c r="W295" s="132"/>
      <c r="Z295" s="132"/>
      <c r="AA295" s="134"/>
      <c r="AB295" s="135"/>
      <c r="AF295" s="132"/>
      <c r="AG295" s="134"/>
    </row>
    <row r="296">
      <c r="A296" s="2"/>
      <c r="B296" s="91"/>
      <c r="C296" s="2"/>
      <c r="H296" s="132"/>
      <c r="J296" s="133"/>
      <c r="M296" s="132"/>
      <c r="R296" s="132"/>
      <c r="W296" s="132"/>
      <c r="Z296" s="132"/>
      <c r="AA296" s="134"/>
      <c r="AB296" s="135"/>
      <c r="AF296" s="132"/>
      <c r="AG296" s="134"/>
    </row>
    <row r="297">
      <c r="A297" s="2"/>
      <c r="B297" s="91"/>
      <c r="C297" s="2"/>
      <c r="H297" s="132"/>
      <c r="J297" s="133"/>
      <c r="M297" s="132"/>
      <c r="R297" s="132"/>
      <c r="W297" s="132"/>
      <c r="Z297" s="132"/>
      <c r="AA297" s="134"/>
      <c r="AB297" s="135"/>
      <c r="AF297" s="132"/>
      <c r="AG297" s="134"/>
    </row>
    <row r="298">
      <c r="A298" s="2"/>
      <c r="B298" s="91"/>
      <c r="C298" s="2"/>
      <c r="H298" s="132"/>
      <c r="J298" s="133"/>
      <c r="M298" s="132"/>
      <c r="R298" s="132"/>
      <c r="W298" s="132"/>
      <c r="Z298" s="132"/>
      <c r="AA298" s="134"/>
      <c r="AB298" s="135"/>
      <c r="AF298" s="132"/>
      <c r="AG298" s="134"/>
    </row>
    <row r="299">
      <c r="A299" s="2"/>
      <c r="B299" s="91"/>
      <c r="C299" s="2"/>
      <c r="H299" s="132"/>
      <c r="J299" s="133"/>
      <c r="M299" s="132"/>
      <c r="R299" s="132"/>
      <c r="W299" s="132"/>
      <c r="Z299" s="132"/>
      <c r="AA299" s="134"/>
      <c r="AB299" s="135"/>
      <c r="AF299" s="132"/>
      <c r="AG299" s="134"/>
    </row>
    <row r="300">
      <c r="A300" s="2"/>
      <c r="B300" s="91"/>
      <c r="C300" s="2"/>
      <c r="H300" s="132"/>
      <c r="J300" s="133"/>
      <c r="M300" s="132"/>
      <c r="R300" s="132"/>
      <c r="W300" s="132"/>
      <c r="Z300" s="132"/>
      <c r="AA300" s="134"/>
      <c r="AB300" s="135"/>
      <c r="AF300" s="132"/>
      <c r="AG300" s="134"/>
    </row>
    <row r="301">
      <c r="A301" s="2"/>
      <c r="B301" s="91"/>
      <c r="C301" s="2"/>
      <c r="H301" s="132"/>
      <c r="J301" s="133"/>
      <c r="M301" s="132"/>
      <c r="R301" s="132"/>
      <c r="W301" s="132"/>
      <c r="Z301" s="132"/>
      <c r="AA301" s="134"/>
      <c r="AB301" s="135"/>
      <c r="AF301" s="132"/>
      <c r="AG301" s="134"/>
    </row>
    <row r="302">
      <c r="A302" s="2"/>
      <c r="B302" s="91"/>
      <c r="C302" s="2"/>
      <c r="H302" s="132"/>
      <c r="J302" s="133"/>
      <c r="M302" s="132"/>
      <c r="R302" s="132"/>
      <c r="W302" s="132"/>
      <c r="Z302" s="132"/>
      <c r="AA302" s="134"/>
      <c r="AB302" s="135"/>
      <c r="AF302" s="132"/>
      <c r="AG302" s="134"/>
    </row>
    <row r="303">
      <c r="A303" s="2"/>
      <c r="B303" s="91"/>
      <c r="C303" s="2"/>
      <c r="H303" s="132"/>
      <c r="J303" s="133"/>
      <c r="M303" s="132"/>
      <c r="R303" s="132"/>
      <c r="W303" s="132"/>
      <c r="Z303" s="132"/>
      <c r="AA303" s="134"/>
      <c r="AB303" s="135"/>
      <c r="AF303" s="132"/>
      <c r="AG303" s="134"/>
    </row>
    <row r="304">
      <c r="A304" s="2"/>
      <c r="B304" s="91"/>
      <c r="C304" s="2"/>
      <c r="H304" s="132"/>
      <c r="J304" s="133"/>
      <c r="M304" s="132"/>
      <c r="R304" s="132"/>
      <c r="W304" s="132"/>
      <c r="Z304" s="132"/>
      <c r="AA304" s="134"/>
      <c r="AB304" s="135"/>
      <c r="AF304" s="132"/>
      <c r="AG304" s="134"/>
    </row>
    <row r="305">
      <c r="A305" s="2"/>
      <c r="B305" s="91"/>
      <c r="C305" s="2"/>
      <c r="H305" s="132"/>
      <c r="J305" s="133"/>
      <c r="M305" s="132"/>
      <c r="R305" s="132"/>
      <c r="W305" s="132"/>
      <c r="Z305" s="132"/>
      <c r="AA305" s="134"/>
      <c r="AB305" s="135"/>
      <c r="AF305" s="132"/>
      <c r="AG305" s="134"/>
    </row>
    <row r="306">
      <c r="A306" s="2"/>
      <c r="B306" s="91"/>
      <c r="C306" s="2"/>
      <c r="H306" s="132"/>
      <c r="J306" s="133"/>
      <c r="M306" s="132"/>
      <c r="R306" s="132"/>
      <c r="W306" s="132"/>
      <c r="Z306" s="132"/>
      <c r="AA306" s="134"/>
      <c r="AB306" s="135"/>
      <c r="AF306" s="132"/>
      <c r="AG306" s="134"/>
    </row>
    <row r="307">
      <c r="A307" s="2"/>
      <c r="B307" s="91"/>
      <c r="C307" s="2"/>
      <c r="H307" s="132"/>
      <c r="J307" s="133"/>
      <c r="M307" s="132"/>
      <c r="R307" s="132"/>
      <c r="W307" s="132"/>
      <c r="Z307" s="132"/>
      <c r="AA307" s="134"/>
      <c r="AB307" s="135"/>
      <c r="AF307" s="132"/>
      <c r="AG307" s="134"/>
    </row>
    <row r="308">
      <c r="A308" s="2"/>
      <c r="B308" s="91"/>
      <c r="C308" s="2"/>
      <c r="H308" s="132"/>
      <c r="J308" s="133"/>
      <c r="M308" s="132"/>
      <c r="R308" s="132"/>
      <c r="W308" s="132"/>
      <c r="Z308" s="132"/>
      <c r="AA308" s="134"/>
      <c r="AB308" s="135"/>
      <c r="AF308" s="132"/>
      <c r="AG308" s="134"/>
    </row>
    <row r="309">
      <c r="A309" s="2"/>
      <c r="B309" s="91"/>
      <c r="C309" s="2"/>
      <c r="H309" s="132"/>
      <c r="J309" s="133"/>
      <c r="M309" s="132"/>
      <c r="R309" s="132"/>
      <c r="W309" s="132"/>
      <c r="Z309" s="132"/>
      <c r="AA309" s="134"/>
      <c r="AB309" s="135"/>
      <c r="AF309" s="132"/>
      <c r="AG309" s="134"/>
    </row>
    <row r="310">
      <c r="A310" s="2"/>
      <c r="B310" s="91"/>
      <c r="C310" s="2"/>
      <c r="H310" s="132"/>
      <c r="J310" s="133"/>
      <c r="M310" s="132"/>
      <c r="R310" s="132"/>
      <c r="W310" s="132"/>
      <c r="Z310" s="132"/>
      <c r="AA310" s="134"/>
      <c r="AB310" s="135"/>
      <c r="AF310" s="132"/>
      <c r="AG310" s="134"/>
    </row>
    <row r="311">
      <c r="A311" s="2"/>
      <c r="B311" s="91"/>
      <c r="C311" s="2"/>
      <c r="H311" s="132"/>
      <c r="J311" s="133"/>
      <c r="M311" s="132"/>
      <c r="R311" s="132"/>
      <c r="W311" s="132"/>
      <c r="Z311" s="132"/>
      <c r="AA311" s="134"/>
      <c r="AB311" s="135"/>
      <c r="AF311" s="132"/>
      <c r="AG311" s="134"/>
    </row>
    <row r="312">
      <c r="A312" s="2"/>
      <c r="B312" s="91"/>
      <c r="C312" s="2"/>
      <c r="H312" s="132"/>
      <c r="J312" s="133"/>
      <c r="M312" s="132"/>
      <c r="R312" s="132"/>
      <c r="W312" s="132"/>
      <c r="Z312" s="132"/>
      <c r="AA312" s="134"/>
      <c r="AB312" s="135"/>
      <c r="AF312" s="132"/>
      <c r="AG312" s="134"/>
    </row>
    <row r="313">
      <c r="A313" s="2"/>
      <c r="B313" s="91"/>
      <c r="C313" s="2"/>
      <c r="H313" s="132"/>
      <c r="J313" s="133"/>
      <c r="M313" s="132"/>
      <c r="R313" s="132"/>
      <c r="W313" s="132"/>
      <c r="Z313" s="132"/>
      <c r="AA313" s="134"/>
      <c r="AB313" s="135"/>
      <c r="AF313" s="132"/>
      <c r="AG313" s="134"/>
    </row>
    <row r="314">
      <c r="A314" s="2"/>
      <c r="B314" s="91"/>
      <c r="C314" s="2"/>
      <c r="H314" s="132"/>
      <c r="J314" s="133"/>
      <c r="M314" s="132"/>
      <c r="R314" s="132"/>
      <c r="W314" s="132"/>
      <c r="Z314" s="132"/>
      <c r="AA314" s="134"/>
      <c r="AB314" s="135"/>
      <c r="AF314" s="132"/>
      <c r="AG314" s="134"/>
    </row>
    <row r="315">
      <c r="A315" s="2"/>
      <c r="B315" s="91"/>
      <c r="C315" s="2"/>
      <c r="H315" s="132"/>
      <c r="J315" s="133"/>
      <c r="M315" s="132"/>
      <c r="R315" s="132"/>
      <c r="W315" s="132"/>
      <c r="Z315" s="132"/>
      <c r="AA315" s="134"/>
      <c r="AB315" s="135"/>
      <c r="AF315" s="132"/>
      <c r="AG315" s="134"/>
    </row>
    <row r="316">
      <c r="A316" s="2"/>
      <c r="B316" s="91"/>
      <c r="C316" s="2"/>
      <c r="H316" s="132"/>
      <c r="J316" s="133"/>
      <c r="M316" s="132"/>
      <c r="R316" s="132"/>
      <c r="W316" s="132"/>
      <c r="Z316" s="132"/>
      <c r="AA316" s="134"/>
      <c r="AB316" s="135"/>
      <c r="AF316" s="132"/>
      <c r="AG316" s="134"/>
    </row>
    <row r="317">
      <c r="A317" s="2"/>
      <c r="B317" s="91"/>
      <c r="C317" s="2"/>
      <c r="H317" s="132"/>
      <c r="J317" s="133"/>
      <c r="M317" s="132"/>
      <c r="R317" s="132"/>
      <c r="W317" s="132"/>
      <c r="Z317" s="132"/>
      <c r="AA317" s="134"/>
      <c r="AB317" s="135"/>
      <c r="AF317" s="132"/>
      <c r="AG317" s="134"/>
    </row>
    <row r="318">
      <c r="A318" s="2"/>
      <c r="B318" s="91"/>
      <c r="C318" s="2"/>
      <c r="H318" s="132"/>
      <c r="J318" s="133"/>
      <c r="M318" s="132"/>
      <c r="R318" s="132"/>
      <c r="W318" s="132"/>
      <c r="Z318" s="132"/>
      <c r="AA318" s="134"/>
      <c r="AB318" s="135"/>
      <c r="AF318" s="132"/>
      <c r="AG318" s="134"/>
    </row>
    <row r="319">
      <c r="A319" s="2"/>
      <c r="B319" s="91"/>
      <c r="C319" s="2"/>
      <c r="H319" s="132"/>
      <c r="J319" s="133"/>
      <c r="M319" s="132"/>
      <c r="R319" s="132"/>
      <c r="W319" s="132"/>
      <c r="Z319" s="132"/>
      <c r="AA319" s="134"/>
      <c r="AB319" s="135"/>
      <c r="AF319" s="132"/>
      <c r="AG319" s="134"/>
    </row>
    <row r="320">
      <c r="A320" s="2"/>
      <c r="B320" s="91"/>
      <c r="C320" s="2"/>
      <c r="H320" s="132"/>
      <c r="J320" s="133"/>
      <c r="M320" s="132"/>
      <c r="R320" s="132"/>
      <c r="W320" s="132"/>
      <c r="Z320" s="132"/>
      <c r="AA320" s="134"/>
      <c r="AB320" s="135"/>
      <c r="AF320" s="132"/>
      <c r="AG320" s="134"/>
    </row>
    <row r="321">
      <c r="A321" s="2"/>
      <c r="B321" s="91"/>
      <c r="C321" s="2"/>
      <c r="H321" s="132"/>
      <c r="J321" s="133"/>
      <c r="M321" s="132"/>
      <c r="R321" s="132"/>
      <c r="W321" s="132"/>
      <c r="Z321" s="132"/>
      <c r="AA321" s="134"/>
      <c r="AB321" s="135"/>
      <c r="AF321" s="132"/>
      <c r="AG321" s="134"/>
    </row>
    <row r="322">
      <c r="A322" s="2"/>
      <c r="B322" s="91"/>
      <c r="C322" s="2"/>
      <c r="H322" s="132"/>
      <c r="J322" s="133"/>
      <c r="M322" s="132"/>
      <c r="R322" s="132"/>
      <c r="W322" s="132"/>
      <c r="Z322" s="132"/>
      <c r="AA322" s="134"/>
      <c r="AB322" s="135"/>
      <c r="AF322" s="132"/>
      <c r="AG322" s="134"/>
    </row>
    <row r="323">
      <c r="A323" s="2"/>
      <c r="B323" s="91"/>
      <c r="C323" s="2"/>
      <c r="H323" s="132"/>
      <c r="J323" s="133"/>
      <c r="M323" s="132"/>
      <c r="R323" s="132"/>
      <c r="W323" s="132"/>
      <c r="Z323" s="132"/>
      <c r="AA323" s="134"/>
      <c r="AB323" s="135"/>
      <c r="AF323" s="132"/>
      <c r="AG323" s="134"/>
    </row>
    <row r="324">
      <c r="A324" s="2"/>
      <c r="B324" s="91"/>
      <c r="C324" s="2"/>
      <c r="H324" s="132"/>
      <c r="J324" s="133"/>
      <c r="M324" s="132"/>
      <c r="R324" s="132"/>
      <c r="W324" s="132"/>
      <c r="Z324" s="132"/>
      <c r="AA324" s="134"/>
      <c r="AB324" s="135"/>
      <c r="AF324" s="132"/>
      <c r="AG324" s="134"/>
    </row>
    <row r="325">
      <c r="A325" s="2"/>
      <c r="B325" s="91"/>
      <c r="C325" s="2"/>
      <c r="H325" s="132"/>
      <c r="J325" s="133"/>
      <c r="M325" s="132"/>
      <c r="R325" s="132"/>
      <c r="W325" s="132"/>
      <c r="Z325" s="132"/>
      <c r="AA325" s="134"/>
      <c r="AB325" s="135"/>
      <c r="AF325" s="132"/>
      <c r="AG325" s="134"/>
    </row>
    <row r="326">
      <c r="A326" s="2"/>
      <c r="B326" s="91"/>
      <c r="C326" s="2"/>
      <c r="H326" s="132"/>
      <c r="J326" s="133"/>
      <c r="M326" s="132"/>
      <c r="R326" s="132"/>
      <c r="W326" s="132"/>
      <c r="Z326" s="132"/>
      <c r="AA326" s="134"/>
      <c r="AB326" s="135"/>
      <c r="AF326" s="132"/>
      <c r="AG326" s="134"/>
    </row>
    <row r="327">
      <c r="A327" s="2"/>
      <c r="B327" s="91"/>
      <c r="C327" s="2"/>
      <c r="H327" s="132"/>
      <c r="J327" s="133"/>
      <c r="M327" s="132"/>
      <c r="R327" s="132"/>
      <c r="W327" s="132"/>
      <c r="Z327" s="132"/>
      <c r="AA327" s="134"/>
      <c r="AB327" s="135"/>
      <c r="AF327" s="132"/>
      <c r="AG327" s="134"/>
    </row>
    <row r="328">
      <c r="A328" s="2"/>
      <c r="B328" s="91"/>
      <c r="C328" s="2"/>
      <c r="H328" s="132"/>
      <c r="J328" s="133"/>
      <c r="M328" s="132"/>
      <c r="R328" s="132"/>
      <c r="W328" s="132"/>
      <c r="Z328" s="132"/>
      <c r="AA328" s="134"/>
      <c r="AB328" s="135"/>
      <c r="AF328" s="132"/>
      <c r="AG328" s="134"/>
    </row>
    <row r="329">
      <c r="A329" s="2"/>
      <c r="B329" s="91"/>
      <c r="C329" s="2"/>
      <c r="H329" s="132"/>
      <c r="J329" s="133"/>
      <c r="M329" s="132"/>
      <c r="R329" s="132"/>
      <c r="W329" s="132"/>
      <c r="Z329" s="132"/>
      <c r="AA329" s="134"/>
      <c r="AB329" s="135"/>
      <c r="AF329" s="132"/>
      <c r="AG329" s="134"/>
    </row>
    <row r="330">
      <c r="A330" s="2"/>
      <c r="B330" s="91"/>
      <c r="C330" s="2"/>
      <c r="H330" s="132"/>
      <c r="J330" s="133"/>
      <c r="M330" s="132"/>
      <c r="R330" s="132"/>
      <c r="W330" s="132"/>
      <c r="Z330" s="132"/>
      <c r="AA330" s="134"/>
      <c r="AB330" s="135"/>
      <c r="AF330" s="132"/>
      <c r="AG330" s="134"/>
    </row>
    <row r="331">
      <c r="A331" s="2"/>
      <c r="B331" s="91"/>
      <c r="C331" s="2"/>
      <c r="H331" s="132"/>
      <c r="J331" s="133"/>
      <c r="M331" s="132"/>
      <c r="R331" s="132"/>
      <c r="W331" s="132"/>
      <c r="Z331" s="132"/>
      <c r="AA331" s="134"/>
      <c r="AB331" s="135"/>
      <c r="AF331" s="132"/>
      <c r="AG331" s="134"/>
    </row>
    <row r="332">
      <c r="A332" s="2"/>
      <c r="B332" s="91"/>
      <c r="C332" s="2"/>
      <c r="H332" s="132"/>
      <c r="J332" s="133"/>
      <c r="M332" s="132"/>
      <c r="R332" s="132"/>
      <c r="W332" s="132"/>
      <c r="Z332" s="132"/>
      <c r="AA332" s="134"/>
      <c r="AB332" s="135"/>
      <c r="AF332" s="132"/>
      <c r="AG332" s="134"/>
    </row>
    <row r="333">
      <c r="A333" s="2"/>
      <c r="B333" s="91"/>
      <c r="C333" s="2"/>
      <c r="H333" s="132"/>
      <c r="J333" s="133"/>
      <c r="M333" s="132"/>
      <c r="R333" s="132"/>
      <c r="W333" s="132"/>
      <c r="Z333" s="132"/>
      <c r="AA333" s="134"/>
      <c r="AB333" s="135"/>
      <c r="AF333" s="132"/>
      <c r="AG333" s="134"/>
    </row>
    <row r="334">
      <c r="A334" s="2"/>
      <c r="B334" s="91"/>
      <c r="C334" s="2"/>
      <c r="H334" s="132"/>
      <c r="J334" s="133"/>
      <c r="M334" s="132"/>
      <c r="R334" s="132"/>
      <c r="W334" s="132"/>
      <c r="Z334" s="132"/>
      <c r="AA334" s="134"/>
      <c r="AB334" s="135"/>
      <c r="AF334" s="132"/>
      <c r="AG334" s="134"/>
    </row>
    <row r="335">
      <c r="A335" s="2"/>
      <c r="B335" s="91"/>
      <c r="C335" s="2"/>
      <c r="H335" s="132"/>
      <c r="J335" s="133"/>
      <c r="M335" s="132"/>
      <c r="R335" s="132"/>
      <c r="W335" s="132"/>
      <c r="Z335" s="132"/>
      <c r="AA335" s="134"/>
      <c r="AB335" s="135"/>
      <c r="AF335" s="132"/>
      <c r="AG335" s="134"/>
    </row>
    <row r="336">
      <c r="A336" s="2"/>
      <c r="B336" s="91"/>
      <c r="C336" s="2"/>
      <c r="H336" s="132"/>
      <c r="J336" s="133"/>
      <c r="M336" s="132"/>
      <c r="R336" s="132"/>
      <c r="W336" s="132"/>
      <c r="Z336" s="132"/>
      <c r="AA336" s="134"/>
      <c r="AB336" s="135"/>
      <c r="AF336" s="132"/>
      <c r="AG336" s="134"/>
    </row>
    <row r="337">
      <c r="A337" s="2"/>
      <c r="B337" s="91"/>
      <c r="C337" s="2"/>
      <c r="H337" s="132"/>
      <c r="J337" s="133"/>
      <c r="M337" s="132"/>
      <c r="R337" s="132"/>
      <c r="W337" s="132"/>
      <c r="Z337" s="132"/>
      <c r="AA337" s="134"/>
      <c r="AB337" s="135"/>
      <c r="AF337" s="132"/>
      <c r="AG337" s="134"/>
    </row>
    <row r="338">
      <c r="A338" s="2"/>
      <c r="B338" s="91"/>
      <c r="C338" s="2"/>
      <c r="H338" s="132"/>
      <c r="J338" s="133"/>
      <c r="M338" s="132"/>
      <c r="R338" s="132"/>
      <c r="W338" s="132"/>
      <c r="Z338" s="132"/>
      <c r="AA338" s="134"/>
      <c r="AB338" s="135"/>
      <c r="AF338" s="132"/>
      <c r="AG338" s="134"/>
    </row>
    <row r="339">
      <c r="A339" s="2"/>
      <c r="B339" s="91"/>
      <c r="C339" s="2"/>
      <c r="H339" s="132"/>
      <c r="J339" s="133"/>
      <c r="M339" s="132"/>
      <c r="R339" s="132"/>
      <c r="W339" s="132"/>
      <c r="Z339" s="132"/>
      <c r="AA339" s="134"/>
      <c r="AB339" s="135"/>
      <c r="AF339" s="132"/>
      <c r="AG339" s="134"/>
    </row>
    <row r="340">
      <c r="A340" s="2"/>
      <c r="B340" s="91"/>
      <c r="C340" s="2"/>
      <c r="H340" s="132"/>
      <c r="J340" s="133"/>
      <c r="M340" s="132"/>
      <c r="R340" s="132"/>
      <c r="W340" s="132"/>
      <c r="Z340" s="132"/>
      <c r="AA340" s="134"/>
      <c r="AB340" s="135"/>
      <c r="AF340" s="132"/>
      <c r="AG340" s="134"/>
    </row>
    <row r="341">
      <c r="A341" s="2"/>
      <c r="B341" s="91"/>
      <c r="C341" s="2"/>
      <c r="H341" s="132"/>
      <c r="J341" s="133"/>
      <c r="M341" s="132"/>
      <c r="R341" s="132"/>
      <c r="W341" s="132"/>
      <c r="Z341" s="132"/>
      <c r="AA341" s="134"/>
      <c r="AB341" s="135"/>
      <c r="AF341" s="132"/>
      <c r="AG341" s="134"/>
    </row>
    <row r="342">
      <c r="A342" s="2"/>
      <c r="B342" s="91"/>
      <c r="C342" s="2"/>
      <c r="H342" s="132"/>
      <c r="J342" s="133"/>
      <c r="M342" s="132"/>
      <c r="R342" s="132"/>
      <c r="W342" s="132"/>
      <c r="Z342" s="132"/>
      <c r="AA342" s="134"/>
      <c r="AB342" s="135"/>
      <c r="AF342" s="132"/>
      <c r="AG342" s="134"/>
    </row>
    <row r="343">
      <c r="A343" s="2"/>
      <c r="B343" s="91"/>
      <c r="C343" s="2"/>
      <c r="H343" s="132"/>
      <c r="J343" s="133"/>
      <c r="M343" s="132"/>
      <c r="R343" s="132"/>
      <c r="W343" s="132"/>
      <c r="Z343" s="132"/>
      <c r="AA343" s="134"/>
      <c r="AB343" s="135"/>
      <c r="AF343" s="132"/>
      <c r="AG343" s="134"/>
    </row>
    <row r="344">
      <c r="A344" s="2"/>
      <c r="B344" s="91"/>
      <c r="C344" s="2"/>
      <c r="H344" s="132"/>
      <c r="J344" s="133"/>
      <c r="M344" s="132"/>
      <c r="R344" s="132"/>
      <c r="W344" s="132"/>
      <c r="Z344" s="132"/>
      <c r="AA344" s="134"/>
      <c r="AB344" s="135"/>
      <c r="AF344" s="132"/>
      <c r="AG344" s="134"/>
    </row>
    <row r="345">
      <c r="A345" s="2"/>
      <c r="B345" s="91"/>
      <c r="C345" s="2"/>
      <c r="H345" s="132"/>
      <c r="J345" s="133"/>
      <c r="M345" s="132"/>
      <c r="R345" s="132"/>
      <c r="W345" s="132"/>
      <c r="Z345" s="132"/>
      <c r="AA345" s="134"/>
      <c r="AB345" s="135"/>
      <c r="AF345" s="132"/>
      <c r="AG345" s="134"/>
    </row>
    <row r="346">
      <c r="A346" s="2"/>
      <c r="B346" s="91"/>
      <c r="C346" s="2"/>
      <c r="H346" s="132"/>
      <c r="J346" s="133"/>
      <c r="M346" s="132"/>
      <c r="R346" s="132"/>
      <c r="W346" s="132"/>
      <c r="Z346" s="132"/>
      <c r="AA346" s="134"/>
      <c r="AB346" s="135"/>
      <c r="AF346" s="132"/>
      <c r="AG346" s="134"/>
    </row>
    <row r="347">
      <c r="A347" s="2"/>
      <c r="B347" s="91"/>
      <c r="C347" s="2"/>
      <c r="H347" s="132"/>
      <c r="J347" s="133"/>
      <c r="M347" s="132"/>
      <c r="R347" s="132"/>
      <c r="W347" s="132"/>
      <c r="Z347" s="132"/>
      <c r="AA347" s="134"/>
      <c r="AB347" s="135"/>
      <c r="AF347" s="132"/>
      <c r="AG347" s="134"/>
    </row>
    <row r="348">
      <c r="A348" s="2"/>
      <c r="B348" s="91"/>
      <c r="C348" s="2"/>
      <c r="H348" s="132"/>
      <c r="J348" s="133"/>
      <c r="M348" s="132"/>
      <c r="R348" s="132"/>
      <c r="W348" s="132"/>
      <c r="Z348" s="132"/>
      <c r="AA348" s="134"/>
      <c r="AB348" s="135"/>
      <c r="AF348" s="132"/>
      <c r="AG348" s="134"/>
    </row>
    <row r="349">
      <c r="A349" s="2"/>
      <c r="B349" s="91"/>
      <c r="C349" s="2"/>
      <c r="H349" s="132"/>
      <c r="J349" s="133"/>
      <c r="M349" s="132"/>
      <c r="R349" s="132"/>
      <c r="W349" s="132"/>
      <c r="Z349" s="132"/>
      <c r="AA349" s="134"/>
      <c r="AB349" s="135"/>
      <c r="AF349" s="132"/>
      <c r="AG349" s="134"/>
    </row>
    <row r="350">
      <c r="A350" s="2"/>
      <c r="B350" s="91"/>
      <c r="C350" s="2"/>
      <c r="H350" s="132"/>
      <c r="J350" s="133"/>
      <c r="M350" s="132"/>
      <c r="R350" s="132"/>
      <c r="W350" s="132"/>
      <c r="Z350" s="132"/>
      <c r="AA350" s="134"/>
      <c r="AB350" s="135"/>
      <c r="AF350" s="132"/>
      <c r="AG350" s="134"/>
    </row>
    <row r="351">
      <c r="A351" s="2"/>
      <c r="B351" s="91"/>
      <c r="C351" s="2"/>
      <c r="H351" s="132"/>
      <c r="J351" s="133"/>
      <c r="M351" s="132"/>
      <c r="R351" s="132"/>
      <c r="W351" s="132"/>
      <c r="Z351" s="132"/>
      <c r="AA351" s="134"/>
      <c r="AB351" s="135"/>
      <c r="AF351" s="132"/>
      <c r="AG351" s="134"/>
    </row>
    <row r="352">
      <c r="A352" s="2"/>
      <c r="B352" s="91"/>
      <c r="C352" s="2"/>
      <c r="H352" s="132"/>
      <c r="J352" s="133"/>
      <c r="M352" s="132"/>
      <c r="R352" s="132"/>
      <c r="W352" s="132"/>
      <c r="Z352" s="132"/>
      <c r="AA352" s="134"/>
      <c r="AB352" s="135"/>
      <c r="AF352" s="132"/>
      <c r="AG352" s="134"/>
    </row>
    <row r="353">
      <c r="A353" s="2"/>
      <c r="B353" s="91"/>
      <c r="C353" s="2"/>
      <c r="H353" s="132"/>
      <c r="J353" s="133"/>
      <c r="M353" s="132"/>
      <c r="R353" s="132"/>
      <c r="W353" s="132"/>
      <c r="Z353" s="132"/>
      <c r="AA353" s="134"/>
      <c r="AB353" s="135"/>
      <c r="AF353" s="132"/>
      <c r="AG353" s="134"/>
    </row>
    <row r="354">
      <c r="A354" s="2"/>
      <c r="B354" s="91"/>
      <c r="C354" s="2"/>
      <c r="H354" s="132"/>
      <c r="J354" s="133"/>
      <c r="M354" s="132"/>
      <c r="R354" s="132"/>
      <c r="W354" s="132"/>
      <c r="Z354" s="132"/>
      <c r="AA354" s="134"/>
      <c r="AB354" s="135"/>
      <c r="AF354" s="132"/>
      <c r="AG354" s="134"/>
    </row>
    <row r="355">
      <c r="A355" s="2"/>
      <c r="B355" s="91"/>
      <c r="C355" s="2"/>
      <c r="H355" s="132"/>
      <c r="J355" s="133"/>
      <c r="M355" s="132"/>
      <c r="R355" s="132"/>
      <c r="W355" s="132"/>
      <c r="Z355" s="132"/>
      <c r="AA355" s="134"/>
      <c r="AB355" s="135"/>
      <c r="AF355" s="132"/>
      <c r="AG355" s="134"/>
    </row>
    <row r="356">
      <c r="A356" s="2"/>
      <c r="B356" s="91"/>
      <c r="C356" s="2"/>
      <c r="H356" s="132"/>
      <c r="J356" s="133"/>
      <c r="M356" s="132"/>
      <c r="R356" s="132"/>
      <c r="W356" s="132"/>
      <c r="Z356" s="132"/>
      <c r="AA356" s="134"/>
      <c r="AB356" s="135"/>
      <c r="AF356" s="132"/>
      <c r="AG356" s="134"/>
    </row>
    <row r="357">
      <c r="A357" s="2"/>
      <c r="B357" s="91"/>
      <c r="C357" s="2"/>
      <c r="H357" s="132"/>
      <c r="J357" s="133"/>
      <c r="M357" s="132"/>
      <c r="R357" s="132"/>
      <c r="W357" s="132"/>
      <c r="Z357" s="132"/>
      <c r="AA357" s="134"/>
      <c r="AB357" s="135"/>
      <c r="AF357" s="132"/>
      <c r="AG357" s="134"/>
    </row>
    <row r="358">
      <c r="A358" s="2"/>
      <c r="B358" s="91"/>
      <c r="C358" s="2"/>
      <c r="H358" s="132"/>
      <c r="J358" s="133"/>
      <c r="M358" s="132"/>
      <c r="R358" s="132"/>
      <c r="W358" s="132"/>
      <c r="Z358" s="132"/>
      <c r="AA358" s="134"/>
      <c r="AB358" s="135"/>
      <c r="AF358" s="132"/>
      <c r="AG358" s="134"/>
    </row>
    <row r="359">
      <c r="A359" s="2"/>
      <c r="B359" s="91"/>
      <c r="C359" s="2"/>
      <c r="H359" s="132"/>
      <c r="J359" s="133"/>
      <c r="M359" s="132"/>
      <c r="R359" s="132"/>
      <c r="W359" s="132"/>
      <c r="Z359" s="132"/>
      <c r="AA359" s="134"/>
      <c r="AB359" s="135"/>
      <c r="AF359" s="132"/>
      <c r="AG359" s="134"/>
    </row>
    <row r="360">
      <c r="A360" s="2"/>
      <c r="B360" s="91"/>
      <c r="C360" s="2"/>
      <c r="H360" s="132"/>
      <c r="J360" s="133"/>
      <c r="M360" s="132"/>
      <c r="R360" s="132"/>
      <c r="W360" s="132"/>
      <c r="Z360" s="132"/>
      <c r="AA360" s="134"/>
      <c r="AB360" s="135"/>
      <c r="AF360" s="132"/>
      <c r="AG360" s="134"/>
    </row>
    <row r="361">
      <c r="A361" s="2"/>
      <c r="B361" s="91"/>
      <c r="C361" s="2"/>
      <c r="H361" s="132"/>
      <c r="J361" s="133"/>
      <c r="M361" s="132"/>
      <c r="R361" s="132"/>
      <c r="W361" s="132"/>
      <c r="Z361" s="132"/>
      <c r="AA361" s="134"/>
      <c r="AB361" s="135"/>
      <c r="AF361" s="132"/>
      <c r="AG361" s="134"/>
    </row>
    <row r="362">
      <c r="A362" s="2"/>
      <c r="B362" s="91"/>
      <c r="C362" s="2"/>
      <c r="H362" s="132"/>
      <c r="J362" s="133"/>
      <c r="M362" s="132"/>
      <c r="R362" s="132"/>
      <c r="W362" s="132"/>
      <c r="Z362" s="132"/>
      <c r="AA362" s="134"/>
      <c r="AB362" s="135"/>
      <c r="AF362" s="132"/>
      <c r="AG362" s="134"/>
    </row>
    <row r="363">
      <c r="A363" s="2"/>
      <c r="B363" s="91"/>
      <c r="C363" s="2"/>
      <c r="H363" s="132"/>
      <c r="J363" s="133"/>
      <c r="M363" s="132"/>
      <c r="R363" s="132"/>
      <c r="W363" s="132"/>
      <c r="Z363" s="132"/>
      <c r="AA363" s="134"/>
      <c r="AB363" s="135"/>
      <c r="AF363" s="132"/>
      <c r="AG363" s="134"/>
    </row>
    <row r="364">
      <c r="A364" s="2"/>
      <c r="B364" s="91"/>
      <c r="C364" s="2"/>
      <c r="H364" s="132"/>
      <c r="J364" s="133"/>
      <c r="M364" s="132"/>
      <c r="R364" s="132"/>
      <c r="W364" s="132"/>
      <c r="Z364" s="132"/>
      <c r="AA364" s="134"/>
      <c r="AB364" s="135"/>
      <c r="AF364" s="132"/>
      <c r="AG364" s="134"/>
    </row>
    <row r="365">
      <c r="A365" s="2"/>
      <c r="B365" s="91"/>
      <c r="C365" s="2"/>
      <c r="H365" s="132"/>
      <c r="J365" s="133"/>
      <c r="M365" s="132"/>
      <c r="R365" s="132"/>
      <c r="W365" s="132"/>
      <c r="Z365" s="132"/>
      <c r="AA365" s="134"/>
      <c r="AB365" s="135"/>
      <c r="AF365" s="132"/>
      <c r="AG365" s="134"/>
    </row>
    <row r="366">
      <c r="A366" s="2"/>
      <c r="B366" s="91"/>
      <c r="C366" s="2"/>
      <c r="H366" s="132"/>
      <c r="J366" s="133"/>
      <c r="M366" s="132"/>
      <c r="R366" s="132"/>
      <c r="W366" s="132"/>
      <c r="Z366" s="132"/>
      <c r="AA366" s="134"/>
      <c r="AB366" s="135"/>
      <c r="AF366" s="132"/>
      <c r="AG366" s="134"/>
    </row>
    <row r="367">
      <c r="A367" s="2"/>
      <c r="B367" s="91"/>
      <c r="C367" s="2"/>
      <c r="H367" s="132"/>
      <c r="J367" s="133"/>
      <c r="M367" s="132"/>
      <c r="R367" s="132"/>
      <c r="W367" s="132"/>
      <c r="Z367" s="132"/>
      <c r="AA367" s="134"/>
      <c r="AB367" s="135"/>
      <c r="AF367" s="132"/>
      <c r="AG367" s="134"/>
    </row>
    <row r="368">
      <c r="A368" s="2"/>
      <c r="B368" s="91"/>
      <c r="C368" s="2"/>
      <c r="H368" s="132"/>
      <c r="J368" s="133"/>
      <c r="M368" s="132"/>
      <c r="R368" s="132"/>
      <c r="W368" s="132"/>
      <c r="Z368" s="132"/>
      <c r="AA368" s="134"/>
      <c r="AB368" s="135"/>
      <c r="AF368" s="132"/>
      <c r="AG368" s="134"/>
    </row>
    <row r="369">
      <c r="A369" s="2"/>
      <c r="B369" s="91"/>
      <c r="C369" s="2"/>
      <c r="H369" s="132"/>
      <c r="J369" s="133"/>
      <c r="M369" s="132"/>
      <c r="R369" s="132"/>
      <c r="W369" s="132"/>
      <c r="Z369" s="132"/>
      <c r="AA369" s="134"/>
      <c r="AB369" s="135"/>
      <c r="AF369" s="132"/>
      <c r="AG369" s="134"/>
    </row>
    <row r="370">
      <c r="A370" s="2"/>
      <c r="B370" s="91"/>
      <c r="C370" s="2"/>
      <c r="H370" s="132"/>
      <c r="J370" s="133"/>
      <c r="M370" s="132"/>
      <c r="R370" s="132"/>
      <c r="W370" s="132"/>
      <c r="Z370" s="132"/>
      <c r="AA370" s="134"/>
      <c r="AB370" s="135"/>
      <c r="AF370" s="132"/>
      <c r="AG370" s="134"/>
    </row>
    <row r="371">
      <c r="A371" s="2"/>
      <c r="B371" s="91"/>
      <c r="C371" s="2"/>
      <c r="H371" s="132"/>
      <c r="J371" s="133"/>
      <c r="M371" s="132"/>
      <c r="R371" s="132"/>
      <c r="W371" s="132"/>
      <c r="Z371" s="132"/>
      <c r="AA371" s="134"/>
      <c r="AB371" s="135"/>
      <c r="AF371" s="132"/>
      <c r="AG371" s="134"/>
    </row>
    <row r="372">
      <c r="A372" s="2"/>
      <c r="B372" s="91"/>
      <c r="C372" s="2"/>
      <c r="H372" s="132"/>
      <c r="J372" s="133"/>
      <c r="M372" s="132"/>
      <c r="R372" s="132"/>
      <c r="W372" s="132"/>
      <c r="Z372" s="132"/>
      <c r="AA372" s="134"/>
      <c r="AB372" s="135"/>
      <c r="AF372" s="132"/>
      <c r="AG372" s="134"/>
    </row>
    <row r="373">
      <c r="A373" s="2"/>
      <c r="B373" s="91"/>
      <c r="C373" s="2"/>
      <c r="H373" s="132"/>
      <c r="J373" s="133"/>
      <c r="M373" s="132"/>
      <c r="R373" s="132"/>
      <c r="W373" s="132"/>
      <c r="Z373" s="132"/>
      <c r="AA373" s="134"/>
      <c r="AB373" s="135"/>
      <c r="AF373" s="132"/>
      <c r="AG373" s="134"/>
    </row>
    <row r="374">
      <c r="A374" s="2"/>
      <c r="B374" s="91"/>
      <c r="C374" s="2"/>
      <c r="H374" s="132"/>
      <c r="J374" s="133"/>
      <c r="M374" s="132"/>
      <c r="R374" s="132"/>
      <c r="W374" s="132"/>
      <c r="Z374" s="132"/>
      <c r="AA374" s="134"/>
      <c r="AB374" s="135"/>
      <c r="AF374" s="132"/>
      <c r="AG374" s="134"/>
    </row>
    <row r="375">
      <c r="A375" s="2"/>
      <c r="B375" s="91"/>
      <c r="C375" s="2"/>
      <c r="H375" s="132"/>
      <c r="J375" s="133"/>
      <c r="M375" s="132"/>
      <c r="R375" s="132"/>
      <c r="W375" s="132"/>
      <c r="Z375" s="132"/>
      <c r="AA375" s="134"/>
      <c r="AB375" s="135"/>
      <c r="AF375" s="132"/>
      <c r="AG375" s="134"/>
    </row>
    <row r="376">
      <c r="A376" s="2"/>
      <c r="B376" s="91"/>
      <c r="C376" s="2"/>
      <c r="H376" s="132"/>
      <c r="J376" s="133"/>
      <c r="M376" s="132"/>
      <c r="R376" s="132"/>
      <c r="W376" s="132"/>
      <c r="Z376" s="132"/>
      <c r="AA376" s="134"/>
      <c r="AB376" s="135"/>
      <c r="AF376" s="132"/>
      <c r="AG376" s="134"/>
    </row>
    <row r="377">
      <c r="A377" s="2"/>
      <c r="B377" s="91"/>
      <c r="C377" s="2"/>
      <c r="H377" s="132"/>
      <c r="J377" s="133"/>
      <c r="M377" s="132"/>
      <c r="R377" s="132"/>
      <c r="W377" s="132"/>
      <c r="Z377" s="132"/>
      <c r="AA377" s="134"/>
      <c r="AB377" s="135"/>
      <c r="AF377" s="132"/>
      <c r="AG377" s="134"/>
    </row>
    <row r="378">
      <c r="A378" s="2"/>
      <c r="B378" s="91"/>
      <c r="C378" s="2"/>
      <c r="H378" s="132"/>
      <c r="J378" s="133"/>
      <c r="M378" s="132"/>
      <c r="R378" s="132"/>
      <c r="W378" s="132"/>
      <c r="Z378" s="132"/>
      <c r="AA378" s="134"/>
      <c r="AB378" s="135"/>
      <c r="AF378" s="132"/>
      <c r="AG378" s="134"/>
    </row>
    <row r="379">
      <c r="A379" s="2"/>
      <c r="B379" s="91"/>
      <c r="C379" s="2"/>
      <c r="H379" s="132"/>
      <c r="J379" s="133"/>
      <c r="M379" s="132"/>
      <c r="R379" s="132"/>
      <c r="W379" s="132"/>
      <c r="Z379" s="132"/>
      <c r="AA379" s="134"/>
      <c r="AB379" s="135"/>
      <c r="AF379" s="132"/>
      <c r="AG379" s="134"/>
    </row>
    <row r="380">
      <c r="A380" s="2"/>
      <c r="B380" s="91"/>
      <c r="C380" s="2"/>
      <c r="H380" s="132"/>
      <c r="J380" s="133"/>
      <c r="M380" s="132"/>
      <c r="R380" s="132"/>
      <c r="W380" s="132"/>
      <c r="Z380" s="132"/>
      <c r="AA380" s="134"/>
      <c r="AB380" s="135"/>
      <c r="AF380" s="132"/>
      <c r="AG380" s="134"/>
    </row>
    <row r="381">
      <c r="A381" s="2"/>
      <c r="B381" s="91"/>
      <c r="C381" s="2"/>
      <c r="H381" s="132"/>
      <c r="J381" s="133"/>
      <c r="M381" s="132"/>
      <c r="R381" s="132"/>
      <c r="W381" s="132"/>
      <c r="Z381" s="132"/>
      <c r="AA381" s="134"/>
      <c r="AB381" s="135"/>
      <c r="AF381" s="132"/>
      <c r="AG381" s="134"/>
    </row>
    <row r="382">
      <c r="A382" s="2"/>
      <c r="B382" s="91"/>
      <c r="C382" s="2"/>
      <c r="H382" s="132"/>
      <c r="J382" s="133"/>
      <c r="M382" s="132"/>
      <c r="R382" s="132"/>
      <c r="W382" s="132"/>
      <c r="Z382" s="132"/>
      <c r="AA382" s="134"/>
      <c r="AB382" s="135"/>
      <c r="AF382" s="132"/>
      <c r="AG382" s="134"/>
    </row>
    <row r="383">
      <c r="A383" s="2"/>
      <c r="B383" s="91"/>
      <c r="C383" s="2"/>
      <c r="H383" s="132"/>
      <c r="J383" s="133"/>
      <c r="M383" s="132"/>
      <c r="R383" s="132"/>
      <c r="W383" s="132"/>
      <c r="Z383" s="132"/>
      <c r="AA383" s="134"/>
      <c r="AB383" s="135"/>
      <c r="AF383" s="132"/>
      <c r="AG383" s="134"/>
    </row>
    <row r="384">
      <c r="A384" s="2"/>
      <c r="B384" s="91"/>
      <c r="C384" s="2"/>
      <c r="H384" s="132"/>
      <c r="J384" s="133"/>
      <c r="M384" s="132"/>
      <c r="R384" s="132"/>
      <c r="W384" s="132"/>
      <c r="Z384" s="132"/>
      <c r="AA384" s="134"/>
      <c r="AB384" s="135"/>
      <c r="AF384" s="132"/>
      <c r="AG384" s="134"/>
    </row>
    <row r="385">
      <c r="A385" s="2"/>
      <c r="B385" s="91"/>
      <c r="C385" s="2"/>
      <c r="H385" s="132"/>
      <c r="J385" s="133"/>
      <c r="M385" s="132"/>
      <c r="R385" s="132"/>
      <c r="W385" s="132"/>
      <c r="Z385" s="132"/>
      <c r="AA385" s="134"/>
      <c r="AB385" s="135"/>
      <c r="AF385" s="132"/>
      <c r="AG385" s="134"/>
    </row>
    <row r="386">
      <c r="A386" s="2"/>
      <c r="B386" s="91"/>
      <c r="C386" s="2"/>
      <c r="H386" s="132"/>
      <c r="J386" s="133"/>
      <c r="M386" s="132"/>
      <c r="R386" s="132"/>
      <c r="W386" s="132"/>
      <c r="Z386" s="132"/>
      <c r="AA386" s="134"/>
      <c r="AB386" s="135"/>
      <c r="AF386" s="132"/>
      <c r="AG386" s="134"/>
    </row>
    <row r="387">
      <c r="A387" s="2"/>
      <c r="B387" s="91"/>
      <c r="C387" s="2"/>
      <c r="H387" s="132"/>
      <c r="J387" s="133"/>
      <c r="M387" s="132"/>
      <c r="R387" s="132"/>
      <c r="W387" s="132"/>
      <c r="Z387" s="132"/>
      <c r="AA387" s="134"/>
      <c r="AB387" s="135"/>
      <c r="AF387" s="132"/>
      <c r="AG387" s="134"/>
    </row>
    <row r="388">
      <c r="A388" s="2"/>
      <c r="B388" s="91"/>
      <c r="C388" s="2"/>
      <c r="H388" s="132"/>
      <c r="J388" s="133"/>
      <c r="M388" s="132"/>
      <c r="R388" s="132"/>
      <c r="W388" s="132"/>
      <c r="Z388" s="132"/>
      <c r="AA388" s="134"/>
      <c r="AB388" s="135"/>
      <c r="AF388" s="132"/>
      <c r="AG388" s="134"/>
    </row>
    <row r="389">
      <c r="A389" s="2"/>
      <c r="B389" s="91"/>
      <c r="C389" s="2"/>
      <c r="H389" s="132"/>
      <c r="J389" s="133"/>
      <c r="M389" s="132"/>
      <c r="R389" s="132"/>
      <c r="W389" s="132"/>
      <c r="Z389" s="132"/>
      <c r="AA389" s="134"/>
      <c r="AB389" s="135"/>
      <c r="AF389" s="132"/>
      <c r="AG389" s="134"/>
    </row>
    <row r="390">
      <c r="A390" s="2"/>
      <c r="B390" s="91"/>
      <c r="C390" s="2"/>
      <c r="H390" s="132"/>
      <c r="J390" s="133"/>
      <c r="M390" s="132"/>
      <c r="R390" s="132"/>
      <c r="W390" s="132"/>
      <c r="Z390" s="132"/>
      <c r="AA390" s="134"/>
      <c r="AB390" s="135"/>
      <c r="AF390" s="132"/>
      <c r="AG390" s="134"/>
    </row>
    <row r="391">
      <c r="A391" s="2"/>
      <c r="B391" s="91"/>
      <c r="C391" s="2"/>
      <c r="H391" s="132"/>
      <c r="J391" s="133"/>
      <c r="M391" s="132"/>
      <c r="R391" s="132"/>
      <c r="W391" s="132"/>
      <c r="Z391" s="132"/>
      <c r="AA391" s="134"/>
      <c r="AB391" s="135"/>
      <c r="AF391" s="132"/>
      <c r="AG391" s="134"/>
    </row>
    <row r="392">
      <c r="A392" s="2"/>
      <c r="B392" s="91"/>
      <c r="C392" s="2"/>
      <c r="H392" s="132"/>
      <c r="J392" s="133"/>
      <c r="M392" s="132"/>
      <c r="R392" s="132"/>
      <c r="W392" s="132"/>
      <c r="Z392" s="132"/>
      <c r="AA392" s="134"/>
      <c r="AB392" s="135"/>
      <c r="AF392" s="132"/>
      <c r="AG392" s="134"/>
    </row>
    <row r="393">
      <c r="A393" s="2"/>
      <c r="B393" s="91"/>
      <c r="C393" s="2"/>
      <c r="H393" s="132"/>
      <c r="J393" s="133"/>
      <c r="M393" s="132"/>
      <c r="R393" s="132"/>
      <c r="W393" s="132"/>
      <c r="Z393" s="132"/>
      <c r="AA393" s="134"/>
      <c r="AB393" s="135"/>
      <c r="AF393" s="132"/>
      <c r="AG393" s="134"/>
    </row>
    <row r="394">
      <c r="A394" s="2"/>
      <c r="B394" s="91"/>
      <c r="C394" s="2"/>
      <c r="H394" s="132"/>
      <c r="J394" s="133"/>
      <c r="M394" s="132"/>
      <c r="R394" s="132"/>
      <c r="W394" s="132"/>
      <c r="Z394" s="132"/>
      <c r="AA394" s="134"/>
      <c r="AB394" s="135"/>
      <c r="AF394" s="132"/>
      <c r="AG394" s="134"/>
    </row>
    <row r="395">
      <c r="A395" s="2"/>
      <c r="B395" s="91"/>
      <c r="C395" s="2"/>
      <c r="H395" s="132"/>
      <c r="J395" s="133"/>
      <c r="M395" s="132"/>
      <c r="R395" s="132"/>
      <c r="W395" s="132"/>
      <c r="Z395" s="132"/>
      <c r="AA395" s="134"/>
      <c r="AB395" s="135"/>
      <c r="AF395" s="132"/>
      <c r="AG395" s="134"/>
    </row>
    <row r="396">
      <c r="A396" s="2"/>
      <c r="B396" s="91"/>
      <c r="C396" s="2"/>
      <c r="H396" s="132"/>
      <c r="J396" s="133"/>
      <c r="M396" s="132"/>
      <c r="R396" s="132"/>
      <c r="W396" s="132"/>
      <c r="Z396" s="132"/>
      <c r="AA396" s="134"/>
      <c r="AB396" s="135"/>
      <c r="AF396" s="132"/>
      <c r="AG396" s="134"/>
    </row>
    <row r="397">
      <c r="A397" s="2"/>
      <c r="B397" s="91"/>
      <c r="C397" s="2"/>
      <c r="H397" s="132"/>
      <c r="J397" s="133"/>
      <c r="M397" s="132"/>
      <c r="R397" s="132"/>
      <c r="W397" s="132"/>
      <c r="Z397" s="132"/>
      <c r="AA397" s="134"/>
      <c r="AB397" s="135"/>
      <c r="AF397" s="132"/>
      <c r="AG397" s="134"/>
    </row>
    <row r="398">
      <c r="A398" s="2"/>
      <c r="B398" s="91"/>
      <c r="C398" s="2"/>
      <c r="H398" s="132"/>
      <c r="J398" s="133"/>
      <c r="M398" s="132"/>
      <c r="R398" s="132"/>
      <c r="W398" s="132"/>
      <c r="Z398" s="132"/>
      <c r="AA398" s="134"/>
      <c r="AB398" s="135"/>
      <c r="AF398" s="132"/>
      <c r="AG398" s="134"/>
    </row>
    <row r="399">
      <c r="A399" s="2"/>
      <c r="B399" s="91"/>
      <c r="C399" s="2"/>
      <c r="H399" s="132"/>
      <c r="J399" s="133"/>
      <c r="M399" s="132"/>
      <c r="R399" s="132"/>
      <c r="W399" s="132"/>
      <c r="Z399" s="132"/>
      <c r="AA399" s="134"/>
      <c r="AB399" s="135"/>
      <c r="AF399" s="132"/>
      <c r="AG399" s="134"/>
    </row>
    <row r="400">
      <c r="A400" s="2"/>
      <c r="B400" s="91"/>
      <c r="C400" s="2"/>
      <c r="H400" s="132"/>
      <c r="J400" s="133"/>
      <c r="M400" s="132"/>
      <c r="R400" s="132"/>
      <c r="W400" s="132"/>
      <c r="Z400" s="132"/>
      <c r="AA400" s="134"/>
      <c r="AB400" s="135"/>
      <c r="AF400" s="132"/>
      <c r="AG400" s="134"/>
    </row>
    <row r="401">
      <c r="A401" s="2"/>
      <c r="B401" s="91"/>
      <c r="C401" s="2"/>
      <c r="H401" s="132"/>
      <c r="J401" s="133"/>
      <c r="M401" s="132"/>
      <c r="R401" s="132"/>
      <c r="W401" s="132"/>
      <c r="Z401" s="132"/>
      <c r="AA401" s="134"/>
      <c r="AB401" s="135"/>
      <c r="AF401" s="132"/>
      <c r="AG401" s="134"/>
    </row>
    <row r="402">
      <c r="A402" s="2"/>
      <c r="B402" s="91"/>
      <c r="C402" s="2"/>
      <c r="H402" s="132"/>
      <c r="J402" s="133"/>
      <c r="M402" s="132"/>
      <c r="R402" s="132"/>
      <c r="W402" s="132"/>
      <c r="Z402" s="132"/>
      <c r="AA402" s="134"/>
      <c r="AB402" s="135"/>
      <c r="AF402" s="132"/>
      <c r="AG402" s="134"/>
    </row>
    <row r="403">
      <c r="A403" s="2"/>
      <c r="B403" s="91"/>
      <c r="C403" s="2"/>
      <c r="H403" s="132"/>
      <c r="J403" s="133"/>
      <c r="M403" s="132"/>
      <c r="R403" s="132"/>
      <c r="W403" s="132"/>
      <c r="Z403" s="132"/>
      <c r="AA403" s="134"/>
      <c r="AB403" s="135"/>
      <c r="AF403" s="132"/>
      <c r="AG403" s="134"/>
    </row>
    <row r="404">
      <c r="A404" s="2"/>
      <c r="B404" s="91"/>
      <c r="C404" s="2"/>
      <c r="H404" s="132"/>
      <c r="J404" s="133"/>
      <c r="M404" s="132"/>
      <c r="R404" s="132"/>
      <c r="W404" s="132"/>
      <c r="Z404" s="132"/>
      <c r="AA404" s="134"/>
      <c r="AB404" s="135"/>
      <c r="AF404" s="132"/>
      <c r="AG404" s="134"/>
    </row>
    <row r="405">
      <c r="A405" s="2"/>
      <c r="B405" s="91"/>
      <c r="C405" s="2"/>
      <c r="H405" s="132"/>
      <c r="J405" s="133"/>
      <c r="M405" s="132"/>
      <c r="R405" s="132"/>
      <c r="W405" s="132"/>
      <c r="Z405" s="132"/>
      <c r="AA405" s="134"/>
      <c r="AB405" s="135"/>
      <c r="AF405" s="132"/>
      <c r="AG405" s="134"/>
    </row>
    <row r="406">
      <c r="A406" s="2"/>
      <c r="B406" s="91"/>
      <c r="C406" s="2"/>
      <c r="H406" s="132"/>
      <c r="J406" s="133"/>
      <c r="M406" s="132"/>
      <c r="R406" s="132"/>
      <c r="W406" s="132"/>
      <c r="Z406" s="132"/>
      <c r="AA406" s="134"/>
      <c r="AB406" s="135"/>
      <c r="AF406" s="132"/>
      <c r="AG406" s="134"/>
    </row>
    <row r="407">
      <c r="A407" s="2"/>
      <c r="B407" s="91"/>
      <c r="C407" s="2"/>
      <c r="H407" s="132"/>
      <c r="J407" s="133"/>
      <c r="M407" s="132"/>
      <c r="R407" s="132"/>
      <c r="W407" s="132"/>
      <c r="Z407" s="132"/>
      <c r="AA407" s="134"/>
      <c r="AB407" s="135"/>
      <c r="AF407" s="132"/>
      <c r="AG407" s="134"/>
    </row>
    <row r="408">
      <c r="A408" s="2"/>
      <c r="B408" s="91"/>
      <c r="C408" s="2"/>
      <c r="H408" s="132"/>
      <c r="J408" s="133"/>
      <c r="M408" s="132"/>
      <c r="R408" s="132"/>
      <c r="W408" s="132"/>
      <c r="Z408" s="132"/>
      <c r="AA408" s="134"/>
      <c r="AB408" s="135"/>
      <c r="AF408" s="132"/>
      <c r="AG408" s="134"/>
    </row>
    <row r="409">
      <c r="A409" s="2"/>
      <c r="B409" s="91"/>
      <c r="C409" s="2"/>
      <c r="H409" s="132"/>
      <c r="J409" s="133"/>
      <c r="M409" s="132"/>
      <c r="R409" s="132"/>
      <c r="W409" s="132"/>
      <c r="Z409" s="132"/>
      <c r="AA409" s="134"/>
      <c r="AB409" s="135"/>
      <c r="AF409" s="132"/>
      <c r="AG409" s="134"/>
    </row>
    <row r="410">
      <c r="A410" s="2"/>
      <c r="B410" s="91"/>
      <c r="C410" s="2"/>
      <c r="H410" s="132"/>
      <c r="J410" s="133"/>
      <c r="M410" s="132"/>
      <c r="R410" s="132"/>
      <c r="W410" s="132"/>
      <c r="Z410" s="132"/>
      <c r="AA410" s="134"/>
      <c r="AB410" s="135"/>
      <c r="AF410" s="132"/>
      <c r="AG410" s="134"/>
    </row>
    <row r="411">
      <c r="A411" s="2"/>
      <c r="B411" s="91"/>
      <c r="C411" s="2"/>
      <c r="H411" s="132"/>
      <c r="J411" s="133"/>
      <c r="M411" s="132"/>
      <c r="R411" s="132"/>
      <c r="W411" s="132"/>
      <c r="Z411" s="132"/>
      <c r="AA411" s="134"/>
      <c r="AB411" s="135"/>
      <c r="AF411" s="132"/>
      <c r="AG411" s="134"/>
    </row>
    <row r="412">
      <c r="A412" s="2"/>
      <c r="B412" s="91"/>
      <c r="C412" s="2"/>
      <c r="H412" s="132"/>
      <c r="J412" s="133"/>
      <c r="M412" s="132"/>
      <c r="R412" s="132"/>
      <c r="W412" s="132"/>
      <c r="Z412" s="132"/>
      <c r="AA412" s="134"/>
      <c r="AB412" s="135"/>
      <c r="AF412" s="132"/>
      <c r="AG412" s="134"/>
    </row>
    <row r="413">
      <c r="A413" s="2"/>
      <c r="B413" s="91"/>
      <c r="C413" s="2"/>
      <c r="H413" s="132"/>
      <c r="J413" s="133"/>
      <c r="M413" s="132"/>
      <c r="R413" s="132"/>
      <c r="W413" s="132"/>
      <c r="Z413" s="132"/>
      <c r="AA413" s="134"/>
      <c r="AB413" s="135"/>
      <c r="AF413" s="132"/>
      <c r="AG413" s="134"/>
    </row>
    <row r="414">
      <c r="A414" s="2"/>
      <c r="B414" s="91"/>
      <c r="C414" s="2"/>
      <c r="H414" s="132"/>
      <c r="J414" s="133"/>
      <c r="M414" s="132"/>
      <c r="R414" s="132"/>
      <c r="W414" s="132"/>
      <c r="Z414" s="132"/>
      <c r="AA414" s="134"/>
      <c r="AB414" s="135"/>
      <c r="AF414" s="132"/>
      <c r="AG414" s="134"/>
    </row>
    <row r="415">
      <c r="A415" s="2"/>
      <c r="B415" s="91"/>
      <c r="C415" s="2"/>
      <c r="H415" s="132"/>
      <c r="J415" s="133"/>
      <c r="M415" s="132"/>
      <c r="R415" s="132"/>
      <c r="W415" s="132"/>
      <c r="Z415" s="132"/>
      <c r="AA415" s="134"/>
      <c r="AB415" s="135"/>
      <c r="AF415" s="132"/>
      <c r="AG415" s="134"/>
    </row>
    <row r="416">
      <c r="A416" s="2"/>
      <c r="B416" s="91"/>
      <c r="C416" s="2"/>
      <c r="H416" s="132"/>
      <c r="J416" s="133"/>
      <c r="M416" s="132"/>
      <c r="R416" s="132"/>
      <c r="W416" s="132"/>
      <c r="Z416" s="132"/>
      <c r="AA416" s="134"/>
      <c r="AB416" s="135"/>
      <c r="AF416" s="132"/>
      <c r="AG416" s="134"/>
    </row>
    <row r="417">
      <c r="A417" s="2"/>
      <c r="B417" s="91"/>
      <c r="C417" s="2"/>
      <c r="H417" s="132"/>
      <c r="J417" s="133"/>
      <c r="M417" s="132"/>
      <c r="R417" s="132"/>
      <c r="W417" s="132"/>
      <c r="Z417" s="132"/>
      <c r="AA417" s="134"/>
      <c r="AB417" s="135"/>
      <c r="AF417" s="132"/>
      <c r="AG417" s="134"/>
    </row>
    <row r="418">
      <c r="A418" s="2"/>
      <c r="B418" s="91"/>
      <c r="C418" s="2"/>
      <c r="H418" s="132"/>
      <c r="J418" s="133"/>
      <c r="M418" s="132"/>
      <c r="R418" s="132"/>
      <c r="W418" s="132"/>
      <c r="Z418" s="132"/>
      <c r="AA418" s="134"/>
      <c r="AB418" s="135"/>
      <c r="AF418" s="132"/>
      <c r="AG418" s="134"/>
    </row>
    <row r="419">
      <c r="A419" s="2"/>
      <c r="B419" s="91"/>
      <c r="C419" s="2"/>
      <c r="H419" s="132"/>
      <c r="J419" s="133"/>
      <c r="M419" s="132"/>
      <c r="R419" s="132"/>
      <c r="W419" s="132"/>
      <c r="Z419" s="132"/>
      <c r="AA419" s="134"/>
      <c r="AB419" s="135"/>
      <c r="AF419" s="132"/>
      <c r="AG419" s="134"/>
    </row>
    <row r="420">
      <c r="A420" s="2"/>
      <c r="B420" s="91"/>
      <c r="C420" s="2"/>
      <c r="H420" s="132"/>
      <c r="J420" s="133"/>
      <c r="M420" s="132"/>
      <c r="R420" s="132"/>
      <c r="W420" s="132"/>
      <c r="Z420" s="132"/>
      <c r="AA420" s="134"/>
      <c r="AB420" s="135"/>
      <c r="AF420" s="132"/>
      <c r="AG420" s="134"/>
    </row>
    <row r="421">
      <c r="A421" s="2"/>
      <c r="B421" s="91"/>
      <c r="C421" s="2"/>
      <c r="H421" s="132"/>
      <c r="J421" s="133"/>
      <c r="M421" s="132"/>
      <c r="R421" s="132"/>
      <c r="W421" s="132"/>
      <c r="Z421" s="132"/>
      <c r="AA421" s="134"/>
      <c r="AB421" s="135"/>
      <c r="AF421" s="132"/>
      <c r="AG421" s="134"/>
    </row>
    <row r="422">
      <c r="A422" s="2"/>
      <c r="B422" s="91"/>
      <c r="C422" s="2"/>
      <c r="H422" s="132"/>
      <c r="J422" s="133"/>
      <c r="M422" s="132"/>
      <c r="R422" s="132"/>
      <c r="W422" s="132"/>
      <c r="Z422" s="132"/>
      <c r="AA422" s="134"/>
      <c r="AB422" s="135"/>
      <c r="AF422" s="132"/>
      <c r="AG422" s="134"/>
    </row>
    <row r="423">
      <c r="A423" s="2"/>
      <c r="B423" s="91"/>
      <c r="C423" s="2"/>
      <c r="H423" s="132"/>
      <c r="J423" s="133"/>
      <c r="M423" s="132"/>
      <c r="R423" s="132"/>
      <c r="W423" s="132"/>
      <c r="Z423" s="132"/>
      <c r="AA423" s="134"/>
      <c r="AB423" s="135"/>
      <c r="AF423" s="132"/>
      <c r="AG423" s="134"/>
    </row>
    <row r="424">
      <c r="A424" s="2"/>
      <c r="B424" s="91"/>
      <c r="C424" s="2"/>
      <c r="H424" s="132"/>
      <c r="J424" s="133"/>
      <c r="M424" s="132"/>
      <c r="R424" s="132"/>
      <c r="W424" s="132"/>
      <c r="Z424" s="132"/>
      <c r="AA424" s="134"/>
      <c r="AB424" s="135"/>
      <c r="AF424" s="132"/>
      <c r="AG424" s="134"/>
    </row>
    <row r="425">
      <c r="A425" s="2"/>
      <c r="B425" s="91"/>
      <c r="C425" s="2"/>
      <c r="H425" s="132"/>
      <c r="J425" s="133"/>
      <c r="M425" s="132"/>
      <c r="R425" s="132"/>
      <c r="W425" s="132"/>
      <c r="Z425" s="132"/>
      <c r="AA425" s="134"/>
      <c r="AB425" s="135"/>
      <c r="AF425" s="132"/>
      <c r="AG425" s="134"/>
    </row>
    <row r="426">
      <c r="A426" s="2"/>
      <c r="B426" s="91"/>
      <c r="C426" s="2"/>
      <c r="H426" s="132"/>
      <c r="J426" s="133"/>
      <c r="M426" s="132"/>
      <c r="R426" s="132"/>
      <c r="W426" s="132"/>
      <c r="Z426" s="132"/>
      <c r="AA426" s="134"/>
      <c r="AB426" s="135"/>
      <c r="AF426" s="132"/>
      <c r="AG426" s="134"/>
    </row>
    <row r="427">
      <c r="A427" s="2"/>
      <c r="B427" s="91"/>
      <c r="C427" s="2"/>
      <c r="H427" s="132"/>
      <c r="J427" s="133"/>
      <c r="M427" s="132"/>
      <c r="R427" s="132"/>
      <c r="W427" s="132"/>
      <c r="Z427" s="132"/>
      <c r="AA427" s="134"/>
      <c r="AB427" s="135"/>
      <c r="AF427" s="132"/>
      <c r="AG427" s="134"/>
    </row>
    <row r="428">
      <c r="A428" s="2"/>
      <c r="B428" s="91"/>
      <c r="C428" s="2"/>
      <c r="H428" s="132"/>
      <c r="J428" s="133"/>
      <c r="M428" s="132"/>
      <c r="R428" s="132"/>
      <c r="W428" s="132"/>
      <c r="Z428" s="132"/>
      <c r="AA428" s="134"/>
      <c r="AB428" s="135"/>
      <c r="AF428" s="132"/>
      <c r="AG428" s="134"/>
    </row>
    <row r="429">
      <c r="A429" s="2"/>
      <c r="B429" s="91"/>
      <c r="C429" s="2"/>
      <c r="H429" s="132"/>
      <c r="J429" s="133"/>
      <c r="M429" s="132"/>
      <c r="R429" s="132"/>
      <c r="W429" s="132"/>
      <c r="Z429" s="132"/>
      <c r="AA429" s="134"/>
      <c r="AB429" s="135"/>
      <c r="AF429" s="132"/>
      <c r="AG429" s="134"/>
    </row>
    <row r="430">
      <c r="A430" s="2"/>
      <c r="B430" s="91"/>
      <c r="C430" s="2"/>
      <c r="H430" s="132"/>
      <c r="J430" s="133"/>
      <c r="M430" s="132"/>
      <c r="R430" s="132"/>
      <c r="W430" s="132"/>
      <c r="Z430" s="132"/>
      <c r="AA430" s="134"/>
      <c r="AB430" s="135"/>
      <c r="AF430" s="132"/>
      <c r="AG430" s="134"/>
    </row>
    <row r="431">
      <c r="A431" s="2"/>
      <c r="B431" s="91"/>
      <c r="C431" s="2"/>
      <c r="H431" s="132"/>
      <c r="J431" s="133"/>
      <c r="M431" s="132"/>
      <c r="R431" s="132"/>
      <c r="W431" s="132"/>
      <c r="Z431" s="132"/>
      <c r="AA431" s="134"/>
      <c r="AB431" s="135"/>
      <c r="AF431" s="132"/>
      <c r="AG431" s="134"/>
    </row>
    <row r="432">
      <c r="A432" s="2"/>
      <c r="B432" s="91"/>
      <c r="C432" s="2"/>
      <c r="H432" s="132"/>
      <c r="J432" s="133"/>
      <c r="M432" s="132"/>
      <c r="R432" s="132"/>
      <c r="W432" s="132"/>
      <c r="Z432" s="132"/>
      <c r="AA432" s="134"/>
      <c r="AB432" s="135"/>
      <c r="AF432" s="132"/>
      <c r="AG432" s="134"/>
    </row>
    <row r="433">
      <c r="A433" s="2"/>
      <c r="B433" s="91"/>
      <c r="C433" s="2"/>
      <c r="H433" s="132"/>
      <c r="J433" s="133"/>
      <c r="M433" s="132"/>
      <c r="R433" s="132"/>
      <c r="W433" s="132"/>
      <c r="Z433" s="132"/>
      <c r="AA433" s="134"/>
      <c r="AB433" s="135"/>
      <c r="AF433" s="132"/>
      <c r="AG433" s="134"/>
    </row>
    <row r="434">
      <c r="A434" s="2"/>
      <c r="B434" s="91"/>
      <c r="C434" s="2"/>
      <c r="H434" s="132"/>
      <c r="J434" s="133"/>
      <c r="M434" s="132"/>
      <c r="R434" s="132"/>
      <c r="W434" s="132"/>
      <c r="Z434" s="132"/>
      <c r="AA434" s="134"/>
      <c r="AB434" s="135"/>
      <c r="AF434" s="132"/>
      <c r="AG434" s="134"/>
    </row>
    <row r="435">
      <c r="A435" s="2"/>
      <c r="B435" s="91"/>
      <c r="C435" s="2"/>
      <c r="H435" s="132"/>
      <c r="J435" s="133"/>
      <c r="M435" s="132"/>
      <c r="R435" s="132"/>
      <c r="W435" s="132"/>
      <c r="Z435" s="132"/>
      <c r="AA435" s="134"/>
      <c r="AB435" s="135"/>
      <c r="AF435" s="132"/>
      <c r="AG435" s="134"/>
    </row>
    <row r="436">
      <c r="A436" s="2"/>
      <c r="B436" s="91"/>
      <c r="C436" s="2"/>
      <c r="H436" s="132"/>
      <c r="J436" s="133"/>
      <c r="M436" s="132"/>
      <c r="R436" s="132"/>
      <c r="W436" s="132"/>
      <c r="Z436" s="132"/>
      <c r="AA436" s="134"/>
      <c r="AB436" s="135"/>
      <c r="AF436" s="132"/>
      <c r="AG436" s="134"/>
    </row>
    <row r="437">
      <c r="A437" s="2"/>
      <c r="B437" s="91"/>
      <c r="C437" s="2"/>
      <c r="H437" s="132"/>
      <c r="J437" s="133"/>
      <c r="M437" s="132"/>
      <c r="R437" s="132"/>
      <c r="W437" s="132"/>
      <c r="Z437" s="132"/>
      <c r="AA437" s="134"/>
      <c r="AB437" s="135"/>
      <c r="AF437" s="132"/>
      <c r="AG437" s="134"/>
    </row>
    <row r="438">
      <c r="A438" s="2"/>
      <c r="B438" s="91"/>
      <c r="C438" s="2"/>
      <c r="H438" s="132"/>
      <c r="J438" s="133"/>
      <c r="M438" s="132"/>
      <c r="R438" s="132"/>
      <c r="W438" s="132"/>
      <c r="Z438" s="132"/>
      <c r="AA438" s="134"/>
      <c r="AB438" s="135"/>
      <c r="AF438" s="132"/>
      <c r="AG438" s="134"/>
    </row>
    <row r="439">
      <c r="A439" s="2"/>
      <c r="B439" s="91"/>
      <c r="C439" s="2"/>
      <c r="H439" s="132"/>
      <c r="J439" s="133"/>
      <c r="M439" s="132"/>
      <c r="R439" s="132"/>
      <c r="W439" s="132"/>
      <c r="Z439" s="132"/>
      <c r="AA439" s="134"/>
      <c r="AB439" s="135"/>
      <c r="AF439" s="132"/>
      <c r="AG439" s="134"/>
    </row>
    <row r="440">
      <c r="A440" s="2"/>
      <c r="B440" s="91"/>
      <c r="C440" s="2"/>
      <c r="H440" s="132"/>
      <c r="J440" s="133"/>
      <c r="M440" s="132"/>
      <c r="R440" s="132"/>
      <c r="W440" s="132"/>
      <c r="Z440" s="132"/>
      <c r="AA440" s="134"/>
      <c r="AB440" s="135"/>
      <c r="AF440" s="132"/>
      <c r="AG440" s="134"/>
    </row>
    <row r="441">
      <c r="A441" s="2"/>
      <c r="B441" s="91"/>
      <c r="C441" s="2"/>
      <c r="H441" s="132"/>
      <c r="J441" s="133"/>
      <c r="M441" s="132"/>
      <c r="R441" s="132"/>
      <c r="W441" s="132"/>
      <c r="Z441" s="132"/>
      <c r="AA441" s="134"/>
      <c r="AB441" s="135"/>
      <c r="AF441" s="132"/>
      <c r="AG441" s="134"/>
    </row>
    <row r="442">
      <c r="A442" s="2"/>
      <c r="B442" s="91"/>
      <c r="C442" s="2"/>
      <c r="H442" s="132"/>
      <c r="J442" s="133"/>
      <c r="M442" s="132"/>
      <c r="R442" s="132"/>
      <c r="W442" s="132"/>
      <c r="Z442" s="132"/>
      <c r="AA442" s="134"/>
      <c r="AB442" s="135"/>
      <c r="AF442" s="132"/>
      <c r="AG442" s="134"/>
    </row>
    <row r="443">
      <c r="A443" s="2"/>
      <c r="B443" s="91"/>
      <c r="C443" s="2"/>
      <c r="H443" s="132"/>
      <c r="J443" s="133"/>
      <c r="M443" s="132"/>
      <c r="R443" s="132"/>
      <c r="W443" s="132"/>
      <c r="Z443" s="132"/>
      <c r="AA443" s="134"/>
      <c r="AB443" s="135"/>
      <c r="AF443" s="132"/>
      <c r="AG443" s="134"/>
    </row>
    <row r="444">
      <c r="A444" s="2"/>
      <c r="B444" s="91"/>
      <c r="C444" s="2"/>
      <c r="H444" s="132"/>
      <c r="J444" s="133"/>
      <c r="M444" s="132"/>
      <c r="R444" s="132"/>
      <c r="W444" s="132"/>
      <c r="Z444" s="132"/>
      <c r="AA444" s="134"/>
      <c r="AB444" s="135"/>
      <c r="AF444" s="132"/>
      <c r="AG444" s="134"/>
    </row>
    <row r="445">
      <c r="A445" s="2"/>
      <c r="B445" s="91"/>
      <c r="C445" s="2"/>
      <c r="H445" s="132"/>
      <c r="J445" s="133"/>
      <c r="M445" s="132"/>
      <c r="R445" s="132"/>
      <c r="W445" s="132"/>
      <c r="Z445" s="132"/>
      <c r="AA445" s="134"/>
      <c r="AB445" s="135"/>
      <c r="AF445" s="132"/>
      <c r="AG445" s="134"/>
    </row>
    <row r="446">
      <c r="A446" s="2"/>
      <c r="B446" s="91"/>
      <c r="C446" s="2"/>
      <c r="H446" s="132"/>
      <c r="J446" s="133"/>
      <c r="M446" s="132"/>
      <c r="R446" s="132"/>
      <c r="W446" s="132"/>
      <c r="Z446" s="132"/>
      <c r="AA446" s="134"/>
      <c r="AB446" s="135"/>
      <c r="AF446" s="132"/>
      <c r="AG446" s="134"/>
    </row>
    <row r="447">
      <c r="A447" s="2"/>
      <c r="B447" s="91"/>
      <c r="C447" s="2"/>
      <c r="H447" s="132"/>
      <c r="J447" s="133"/>
      <c r="M447" s="132"/>
      <c r="R447" s="132"/>
      <c r="W447" s="132"/>
      <c r="Z447" s="132"/>
      <c r="AA447" s="134"/>
      <c r="AB447" s="135"/>
      <c r="AF447" s="132"/>
      <c r="AG447" s="134"/>
    </row>
    <row r="448">
      <c r="A448" s="2"/>
      <c r="B448" s="91"/>
      <c r="C448" s="2"/>
      <c r="H448" s="132"/>
      <c r="J448" s="133"/>
      <c r="M448" s="132"/>
      <c r="R448" s="132"/>
      <c r="W448" s="132"/>
      <c r="Z448" s="132"/>
      <c r="AA448" s="134"/>
      <c r="AB448" s="135"/>
      <c r="AF448" s="132"/>
      <c r="AG448" s="134"/>
    </row>
    <row r="449">
      <c r="A449" s="2"/>
      <c r="B449" s="91"/>
      <c r="C449" s="2"/>
      <c r="H449" s="132"/>
      <c r="J449" s="133"/>
      <c r="M449" s="132"/>
      <c r="R449" s="132"/>
      <c r="W449" s="132"/>
      <c r="Z449" s="132"/>
      <c r="AA449" s="134"/>
      <c r="AB449" s="135"/>
      <c r="AF449" s="132"/>
      <c r="AG449" s="134"/>
    </row>
    <row r="450">
      <c r="A450" s="2"/>
      <c r="B450" s="91"/>
      <c r="C450" s="2"/>
      <c r="H450" s="132"/>
      <c r="J450" s="133"/>
      <c r="M450" s="132"/>
      <c r="R450" s="132"/>
      <c r="W450" s="132"/>
      <c r="Z450" s="132"/>
      <c r="AA450" s="134"/>
      <c r="AB450" s="135"/>
      <c r="AF450" s="132"/>
      <c r="AG450" s="134"/>
    </row>
    <row r="451">
      <c r="A451" s="2"/>
      <c r="B451" s="91"/>
      <c r="C451" s="2"/>
      <c r="H451" s="132"/>
      <c r="J451" s="133"/>
      <c r="M451" s="132"/>
      <c r="R451" s="132"/>
      <c r="W451" s="132"/>
      <c r="Z451" s="132"/>
      <c r="AA451" s="134"/>
      <c r="AB451" s="135"/>
      <c r="AF451" s="132"/>
      <c r="AG451" s="134"/>
    </row>
    <row r="452">
      <c r="A452" s="2"/>
      <c r="B452" s="91"/>
      <c r="C452" s="2"/>
      <c r="H452" s="132"/>
      <c r="J452" s="133"/>
      <c r="M452" s="132"/>
      <c r="R452" s="132"/>
      <c r="W452" s="132"/>
      <c r="Z452" s="132"/>
      <c r="AA452" s="134"/>
      <c r="AB452" s="135"/>
      <c r="AF452" s="132"/>
      <c r="AG452" s="134"/>
    </row>
    <row r="453">
      <c r="A453" s="2"/>
      <c r="B453" s="91"/>
      <c r="C453" s="2"/>
      <c r="H453" s="132"/>
      <c r="J453" s="133"/>
      <c r="M453" s="132"/>
      <c r="R453" s="132"/>
      <c r="W453" s="132"/>
      <c r="Z453" s="132"/>
      <c r="AA453" s="134"/>
      <c r="AB453" s="135"/>
      <c r="AF453" s="132"/>
      <c r="AG453" s="134"/>
    </row>
    <row r="454">
      <c r="A454" s="2"/>
      <c r="B454" s="91"/>
      <c r="C454" s="2"/>
      <c r="H454" s="132"/>
      <c r="J454" s="133"/>
      <c r="M454" s="132"/>
      <c r="R454" s="132"/>
      <c r="W454" s="132"/>
      <c r="Z454" s="132"/>
      <c r="AA454" s="134"/>
      <c r="AB454" s="135"/>
      <c r="AF454" s="132"/>
      <c r="AG454" s="134"/>
    </row>
    <row r="455">
      <c r="A455" s="2"/>
      <c r="B455" s="91"/>
      <c r="C455" s="2"/>
      <c r="H455" s="132"/>
      <c r="J455" s="133"/>
      <c r="M455" s="132"/>
      <c r="R455" s="132"/>
      <c r="W455" s="132"/>
      <c r="Z455" s="132"/>
      <c r="AA455" s="134"/>
      <c r="AB455" s="135"/>
      <c r="AF455" s="132"/>
      <c r="AG455" s="134"/>
    </row>
    <row r="456">
      <c r="A456" s="2"/>
      <c r="B456" s="91"/>
      <c r="C456" s="2"/>
      <c r="H456" s="132"/>
      <c r="J456" s="133"/>
      <c r="M456" s="132"/>
      <c r="R456" s="132"/>
      <c r="W456" s="132"/>
      <c r="Z456" s="132"/>
      <c r="AA456" s="134"/>
      <c r="AB456" s="135"/>
      <c r="AF456" s="132"/>
      <c r="AG456" s="134"/>
    </row>
    <row r="457">
      <c r="A457" s="2"/>
      <c r="B457" s="91"/>
      <c r="C457" s="2"/>
      <c r="H457" s="132"/>
      <c r="J457" s="133"/>
      <c r="M457" s="132"/>
      <c r="R457" s="132"/>
      <c r="W457" s="132"/>
      <c r="Z457" s="132"/>
      <c r="AA457" s="134"/>
      <c r="AB457" s="135"/>
      <c r="AF457" s="132"/>
      <c r="AG457" s="134"/>
    </row>
    <row r="458">
      <c r="A458" s="2"/>
      <c r="B458" s="91"/>
      <c r="C458" s="2"/>
      <c r="H458" s="132"/>
      <c r="J458" s="133"/>
      <c r="M458" s="132"/>
      <c r="R458" s="132"/>
      <c r="W458" s="132"/>
      <c r="Z458" s="132"/>
      <c r="AA458" s="134"/>
      <c r="AB458" s="135"/>
      <c r="AF458" s="132"/>
      <c r="AG458" s="134"/>
    </row>
    <row r="459">
      <c r="A459" s="2"/>
      <c r="B459" s="91"/>
      <c r="C459" s="2"/>
      <c r="H459" s="132"/>
      <c r="J459" s="133"/>
      <c r="M459" s="132"/>
      <c r="R459" s="132"/>
      <c r="W459" s="132"/>
      <c r="Z459" s="132"/>
      <c r="AA459" s="134"/>
      <c r="AB459" s="135"/>
      <c r="AF459" s="132"/>
      <c r="AG459" s="134"/>
    </row>
    <row r="460">
      <c r="A460" s="2"/>
      <c r="B460" s="91"/>
      <c r="C460" s="2"/>
      <c r="H460" s="132"/>
      <c r="J460" s="133"/>
      <c r="M460" s="132"/>
      <c r="R460" s="132"/>
      <c r="W460" s="132"/>
      <c r="Z460" s="132"/>
      <c r="AA460" s="134"/>
      <c r="AB460" s="135"/>
      <c r="AF460" s="132"/>
      <c r="AG460" s="134"/>
    </row>
    <row r="461">
      <c r="A461" s="2"/>
      <c r="B461" s="91"/>
      <c r="C461" s="2"/>
      <c r="H461" s="132"/>
      <c r="J461" s="133"/>
      <c r="M461" s="132"/>
      <c r="R461" s="132"/>
      <c r="W461" s="132"/>
      <c r="Z461" s="132"/>
      <c r="AA461" s="134"/>
      <c r="AB461" s="135"/>
      <c r="AF461" s="132"/>
      <c r="AG461" s="134"/>
    </row>
    <row r="462">
      <c r="A462" s="2"/>
      <c r="B462" s="91"/>
      <c r="C462" s="2"/>
      <c r="H462" s="132"/>
      <c r="J462" s="133"/>
      <c r="M462" s="132"/>
      <c r="R462" s="132"/>
      <c r="W462" s="132"/>
      <c r="Z462" s="132"/>
      <c r="AA462" s="134"/>
      <c r="AB462" s="135"/>
      <c r="AF462" s="132"/>
      <c r="AG462" s="134"/>
    </row>
    <row r="463">
      <c r="A463" s="2"/>
      <c r="B463" s="91"/>
      <c r="C463" s="2"/>
      <c r="H463" s="132"/>
      <c r="J463" s="133"/>
      <c r="M463" s="132"/>
      <c r="R463" s="132"/>
      <c r="W463" s="132"/>
      <c r="Z463" s="132"/>
      <c r="AA463" s="134"/>
      <c r="AB463" s="135"/>
      <c r="AF463" s="132"/>
      <c r="AG463" s="134"/>
    </row>
    <row r="464">
      <c r="A464" s="2"/>
      <c r="B464" s="91"/>
      <c r="C464" s="2"/>
      <c r="H464" s="132"/>
      <c r="J464" s="133"/>
      <c r="M464" s="132"/>
      <c r="R464" s="132"/>
      <c r="W464" s="132"/>
      <c r="Z464" s="132"/>
      <c r="AA464" s="134"/>
      <c r="AB464" s="135"/>
      <c r="AF464" s="132"/>
      <c r="AG464" s="134"/>
    </row>
    <row r="465">
      <c r="A465" s="2"/>
      <c r="B465" s="91"/>
      <c r="C465" s="2"/>
      <c r="H465" s="132"/>
      <c r="J465" s="133"/>
      <c r="M465" s="132"/>
      <c r="R465" s="132"/>
      <c r="W465" s="132"/>
      <c r="Z465" s="132"/>
      <c r="AA465" s="134"/>
      <c r="AB465" s="135"/>
      <c r="AF465" s="132"/>
      <c r="AG465" s="134"/>
    </row>
    <row r="466">
      <c r="A466" s="2"/>
      <c r="B466" s="91"/>
      <c r="C466" s="2"/>
      <c r="H466" s="132"/>
      <c r="J466" s="133"/>
      <c r="M466" s="132"/>
      <c r="R466" s="132"/>
      <c r="W466" s="132"/>
      <c r="Z466" s="132"/>
      <c r="AA466" s="134"/>
      <c r="AB466" s="135"/>
      <c r="AF466" s="132"/>
      <c r="AG466" s="134"/>
    </row>
    <row r="467">
      <c r="A467" s="2"/>
      <c r="B467" s="91"/>
      <c r="C467" s="2"/>
      <c r="H467" s="132"/>
      <c r="J467" s="133"/>
      <c r="M467" s="132"/>
      <c r="R467" s="132"/>
      <c r="W467" s="132"/>
      <c r="Z467" s="132"/>
      <c r="AA467" s="134"/>
      <c r="AB467" s="135"/>
      <c r="AF467" s="132"/>
      <c r="AG467" s="134"/>
    </row>
    <row r="468">
      <c r="A468" s="2"/>
      <c r="B468" s="91"/>
      <c r="C468" s="2"/>
      <c r="H468" s="132"/>
      <c r="J468" s="133"/>
      <c r="M468" s="132"/>
      <c r="R468" s="132"/>
      <c r="W468" s="132"/>
      <c r="Z468" s="132"/>
      <c r="AA468" s="134"/>
      <c r="AB468" s="135"/>
      <c r="AF468" s="132"/>
      <c r="AG468" s="134"/>
    </row>
    <row r="469">
      <c r="A469" s="2"/>
      <c r="B469" s="91"/>
      <c r="C469" s="2"/>
      <c r="H469" s="132"/>
      <c r="J469" s="133"/>
      <c r="M469" s="132"/>
      <c r="R469" s="132"/>
      <c r="W469" s="132"/>
      <c r="Z469" s="132"/>
      <c r="AA469" s="134"/>
      <c r="AB469" s="135"/>
      <c r="AF469" s="132"/>
      <c r="AG469" s="134"/>
    </row>
    <row r="470">
      <c r="A470" s="2"/>
      <c r="B470" s="91"/>
      <c r="C470" s="2"/>
      <c r="H470" s="132"/>
      <c r="J470" s="133"/>
      <c r="M470" s="132"/>
      <c r="R470" s="132"/>
      <c r="W470" s="132"/>
      <c r="Z470" s="132"/>
      <c r="AA470" s="134"/>
      <c r="AB470" s="135"/>
      <c r="AF470" s="132"/>
      <c r="AG470" s="134"/>
    </row>
    <row r="471">
      <c r="A471" s="2"/>
      <c r="B471" s="91"/>
      <c r="C471" s="2"/>
      <c r="H471" s="132"/>
      <c r="J471" s="133"/>
      <c r="M471" s="132"/>
      <c r="R471" s="132"/>
      <c r="W471" s="132"/>
      <c r="Z471" s="132"/>
      <c r="AA471" s="134"/>
      <c r="AB471" s="135"/>
      <c r="AF471" s="132"/>
      <c r="AG471" s="134"/>
    </row>
    <row r="472">
      <c r="A472" s="2"/>
      <c r="B472" s="91"/>
      <c r="C472" s="2"/>
      <c r="H472" s="132"/>
      <c r="J472" s="133"/>
      <c r="M472" s="132"/>
      <c r="R472" s="132"/>
      <c r="W472" s="132"/>
      <c r="Z472" s="132"/>
      <c r="AA472" s="134"/>
      <c r="AB472" s="135"/>
      <c r="AF472" s="132"/>
      <c r="AG472" s="134"/>
    </row>
    <row r="473">
      <c r="A473" s="2"/>
      <c r="B473" s="91"/>
      <c r="C473" s="2"/>
      <c r="H473" s="132"/>
      <c r="J473" s="133"/>
      <c r="M473" s="132"/>
      <c r="R473" s="132"/>
      <c r="W473" s="132"/>
      <c r="Z473" s="132"/>
      <c r="AA473" s="134"/>
      <c r="AB473" s="135"/>
      <c r="AF473" s="132"/>
      <c r="AG473" s="134"/>
    </row>
    <row r="474">
      <c r="A474" s="2"/>
      <c r="B474" s="91"/>
      <c r="C474" s="2"/>
      <c r="H474" s="132"/>
      <c r="J474" s="133"/>
      <c r="M474" s="132"/>
      <c r="R474" s="132"/>
      <c r="W474" s="132"/>
      <c r="Z474" s="132"/>
      <c r="AA474" s="134"/>
      <c r="AB474" s="135"/>
      <c r="AF474" s="132"/>
      <c r="AG474" s="134"/>
    </row>
    <row r="475">
      <c r="A475" s="2"/>
      <c r="B475" s="91"/>
      <c r="C475" s="2"/>
      <c r="H475" s="132"/>
      <c r="J475" s="133"/>
      <c r="M475" s="132"/>
      <c r="R475" s="132"/>
      <c r="W475" s="132"/>
      <c r="Z475" s="132"/>
      <c r="AA475" s="134"/>
      <c r="AB475" s="135"/>
      <c r="AF475" s="132"/>
      <c r="AG475" s="134"/>
    </row>
    <row r="476">
      <c r="A476" s="2"/>
      <c r="B476" s="91"/>
      <c r="C476" s="2"/>
      <c r="H476" s="132"/>
      <c r="J476" s="133"/>
      <c r="M476" s="132"/>
      <c r="R476" s="132"/>
      <c r="W476" s="132"/>
      <c r="Z476" s="132"/>
      <c r="AA476" s="134"/>
      <c r="AB476" s="135"/>
      <c r="AF476" s="132"/>
      <c r="AG476" s="134"/>
    </row>
    <row r="477">
      <c r="A477" s="2"/>
      <c r="B477" s="91"/>
      <c r="C477" s="2"/>
      <c r="H477" s="132"/>
      <c r="J477" s="133"/>
      <c r="M477" s="132"/>
      <c r="R477" s="132"/>
      <c r="W477" s="132"/>
      <c r="Z477" s="132"/>
      <c r="AA477" s="134"/>
      <c r="AB477" s="135"/>
      <c r="AF477" s="132"/>
      <c r="AG477" s="134"/>
    </row>
    <row r="478">
      <c r="A478" s="2"/>
      <c r="B478" s="91"/>
      <c r="C478" s="2"/>
      <c r="H478" s="132"/>
      <c r="J478" s="133"/>
      <c r="M478" s="132"/>
      <c r="R478" s="132"/>
      <c r="W478" s="132"/>
      <c r="Z478" s="132"/>
      <c r="AA478" s="134"/>
      <c r="AB478" s="135"/>
      <c r="AF478" s="132"/>
      <c r="AG478" s="134"/>
    </row>
    <row r="479">
      <c r="A479" s="2"/>
      <c r="B479" s="91"/>
      <c r="C479" s="2"/>
      <c r="H479" s="132"/>
      <c r="J479" s="133"/>
      <c r="M479" s="132"/>
      <c r="R479" s="132"/>
      <c r="W479" s="132"/>
      <c r="Z479" s="132"/>
      <c r="AA479" s="134"/>
      <c r="AB479" s="135"/>
      <c r="AF479" s="132"/>
      <c r="AG479" s="134"/>
    </row>
    <row r="480">
      <c r="A480" s="2"/>
      <c r="B480" s="91"/>
      <c r="C480" s="2"/>
      <c r="H480" s="132"/>
      <c r="J480" s="133"/>
      <c r="M480" s="132"/>
      <c r="R480" s="132"/>
      <c r="W480" s="132"/>
      <c r="Z480" s="132"/>
      <c r="AA480" s="134"/>
      <c r="AB480" s="135"/>
      <c r="AF480" s="132"/>
      <c r="AG480" s="134"/>
    </row>
    <row r="481">
      <c r="A481" s="2"/>
      <c r="B481" s="91"/>
      <c r="C481" s="2"/>
      <c r="H481" s="132"/>
      <c r="J481" s="133"/>
      <c r="M481" s="132"/>
      <c r="R481" s="132"/>
      <c r="W481" s="132"/>
      <c r="Z481" s="132"/>
      <c r="AA481" s="134"/>
      <c r="AB481" s="135"/>
      <c r="AF481" s="132"/>
      <c r="AG481" s="134"/>
    </row>
    <row r="482">
      <c r="A482" s="2"/>
      <c r="B482" s="91"/>
      <c r="C482" s="2"/>
      <c r="H482" s="132"/>
      <c r="J482" s="133"/>
      <c r="M482" s="132"/>
      <c r="R482" s="132"/>
      <c r="W482" s="132"/>
      <c r="Z482" s="132"/>
      <c r="AA482" s="134"/>
      <c r="AB482" s="135"/>
      <c r="AF482" s="132"/>
      <c r="AG482" s="134"/>
    </row>
    <row r="483">
      <c r="A483" s="2"/>
      <c r="B483" s="91"/>
      <c r="C483" s="2"/>
      <c r="H483" s="132"/>
      <c r="J483" s="133"/>
      <c r="M483" s="132"/>
      <c r="R483" s="132"/>
      <c r="W483" s="132"/>
      <c r="Z483" s="132"/>
      <c r="AA483" s="134"/>
      <c r="AB483" s="135"/>
      <c r="AF483" s="132"/>
      <c r="AG483" s="134"/>
    </row>
    <row r="484">
      <c r="A484" s="2"/>
      <c r="B484" s="91"/>
      <c r="C484" s="2"/>
      <c r="H484" s="132"/>
      <c r="J484" s="133"/>
      <c r="M484" s="132"/>
      <c r="R484" s="132"/>
      <c r="W484" s="132"/>
      <c r="Z484" s="132"/>
      <c r="AA484" s="134"/>
      <c r="AB484" s="135"/>
      <c r="AF484" s="132"/>
      <c r="AG484" s="134"/>
    </row>
    <row r="485">
      <c r="A485" s="2"/>
      <c r="B485" s="91"/>
      <c r="C485" s="2"/>
      <c r="H485" s="132"/>
      <c r="J485" s="133"/>
      <c r="M485" s="132"/>
      <c r="R485" s="132"/>
      <c r="W485" s="132"/>
      <c r="Z485" s="132"/>
      <c r="AA485" s="134"/>
      <c r="AB485" s="135"/>
      <c r="AF485" s="132"/>
      <c r="AG485" s="134"/>
    </row>
    <row r="486">
      <c r="A486" s="2"/>
      <c r="B486" s="91"/>
      <c r="C486" s="2"/>
      <c r="H486" s="132"/>
      <c r="J486" s="133"/>
      <c r="M486" s="132"/>
      <c r="R486" s="132"/>
      <c r="W486" s="132"/>
      <c r="Z486" s="132"/>
      <c r="AA486" s="134"/>
      <c r="AB486" s="135"/>
      <c r="AF486" s="132"/>
      <c r="AG486" s="134"/>
    </row>
    <row r="487">
      <c r="A487" s="2"/>
      <c r="B487" s="91"/>
      <c r="C487" s="2"/>
      <c r="H487" s="132"/>
      <c r="J487" s="133"/>
      <c r="M487" s="132"/>
      <c r="R487" s="132"/>
      <c r="W487" s="132"/>
      <c r="Z487" s="132"/>
      <c r="AA487" s="134"/>
      <c r="AB487" s="135"/>
      <c r="AF487" s="132"/>
      <c r="AG487" s="134"/>
    </row>
    <row r="488">
      <c r="A488" s="2"/>
      <c r="B488" s="91"/>
      <c r="C488" s="2"/>
      <c r="H488" s="132"/>
      <c r="J488" s="133"/>
      <c r="M488" s="132"/>
      <c r="R488" s="132"/>
      <c r="W488" s="132"/>
      <c r="Z488" s="132"/>
      <c r="AA488" s="134"/>
      <c r="AB488" s="135"/>
      <c r="AF488" s="132"/>
      <c r="AG488" s="134"/>
    </row>
    <row r="489">
      <c r="A489" s="2"/>
      <c r="B489" s="91"/>
      <c r="C489" s="2"/>
      <c r="H489" s="132"/>
      <c r="J489" s="133"/>
      <c r="M489" s="132"/>
      <c r="R489" s="132"/>
      <c r="W489" s="132"/>
      <c r="Z489" s="132"/>
      <c r="AA489" s="134"/>
      <c r="AB489" s="135"/>
      <c r="AF489" s="132"/>
      <c r="AG489" s="134"/>
    </row>
    <row r="490">
      <c r="A490" s="2"/>
      <c r="B490" s="91"/>
      <c r="C490" s="2"/>
      <c r="H490" s="132"/>
      <c r="J490" s="133"/>
      <c r="M490" s="132"/>
      <c r="R490" s="132"/>
      <c r="W490" s="132"/>
      <c r="Z490" s="132"/>
      <c r="AA490" s="134"/>
      <c r="AB490" s="135"/>
      <c r="AF490" s="132"/>
      <c r="AG490" s="134"/>
    </row>
    <row r="491">
      <c r="A491" s="2"/>
      <c r="B491" s="91"/>
      <c r="C491" s="2"/>
      <c r="H491" s="132"/>
      <c r="J491" s="133"/>
      <c r="M491" s="132"/>
      <c r="R491" s="132"/>
      <c r="W491" s="132"/>
      <c r="Z491" s="132"/>
      <c r="AA491" s="134"/>
      <c r="AB491" s="135"/>
      <c r="AF491" s="132"/>
      <c r="AG491" s="134"/>
    </row>
    <row r="492">
      <c r="A492" s="2"/>
      <c r="B492" s="91"/>
      <c r="C492" s="2"/>
      <c r="H492" s="132"/>
      <c r="J492" s="133"/>
      <c r="M492" s="132"/>
      <c r="R492" s="132"/>
      <c r="W492" s="132"/>
      <c r="Z492" s="132"/>
      <c r="AA492" s="134"/>
      <c r="AB492" s="135"/>
      <c r="AF492" s="132"/>
      <c r="AG492" s="134"/>
    </row>
    <row r="493">
      <c r="A493" s="2"/>
      <c r="B493" s="91"/>
      <c r="C493" s="2"/>
      <c r="H493" s="132"/>
      <c r="J493" s="133"/>
      <c r="M493" s="132"/>
      <c r="R493" s="132"/>
      <c r="W493" s="132"/>
      <c r="Z493" s="132"/>
      <c r="AA493" s="134"/>
      <c r="AB493" s="135"/>
      <c r="AF493" s="132"/>
      <c r="AG493" s="134"/>
    </row>
    <row r="494">
      <c r="A494" s="2"/>
      <c r="B494" s="91"/>
      <c r="C494" s="2"/>
      <c r="H494" s="132"/>
      <c r="J494" s="133"/>
      <c r="M494" s="132"/>
      <c r="R494" s="132"/>
      <c r="W494" s="132"/>
      <c r="Z494" s="132"/>
      <c r="AA494" s="134"/>
      <c r="AB494" s="135"/>
      <c r="AF494" s="132"/>
      <c r="AG494" s="134"/>
    </row>
    <row r="495">
      <c r="A495" s="2"/>
      <c r="B495" s="91"/>
      <c r="C495" s="2"/>
      <c r="H495" s="132"/>
      <c r="J495" s="133"/>
      <c r="M495" s="132"/>
      <c r="R495" s="132"/>
      <c r="W495" s="132"/>
      <c r="Z495" s="132"/>
      <c r="AA495" s="134"/>
      <c r="AB495" s="135"/>
      <c r="AF495" s="132"/>
      <c r="AG495" s="134"/>
    </row>
    <row r="496">
      <c r="A496" s="2"/>
      <c r="B496" s="91"/>
      <c r="C496" s="2"/>
      <c r="H496" s="132"/>
      <c r="J496" s="133"/>
      <c r="M496" s="132"/>
      <c r="R496" s="132"/>
      <c r="W496" s="132"/>
      <c r="Z496" s="132"/>
      <c r="AA496" s="134"/>
      <c r="AB496" s="135"/>
      <c r="AF496" s="132"/>
      <c r="AG496" s="134"/>
    </row>
    <row r="497">
      <c r="A497" s="2"/>
      <c r="B497" s="91"/>
      <c r="C497" s="2"/>
      <c r="H497" s="132"/>
      <c r="J497" s="133"/>
      <c r="M497" s="132"/>
      <c r="R497" s="132"/>
      <c r="W497" s="132"/>
      <c r="Z497" s="132"/>
      <c r="AA497" s="134"/>
      <c r="AB497" s="135"/>
      <c r="AF497" s="132"/>
      <c r="AG497" s="134"/>
    </row>
    <row r="498">
      <c r="A498" s="2"/>
      <c r="B498" s="91"/>
      <c r="C498" s="2"/>
      <c r="H498" s="132"/>
      <c r="J498" s="133"/>
      <c r="M498" s="132"/>
      <c r="R498" s="132"/>
      <c r="W498" s="132"/>
      <c r="Z498" s="132"/>
      <c r="AA498" s="134"/>
      <c r="AB498" s="135"/>
      <c r="AF498" s="132"/>
      <c r="AG498" s="134"/>
    </row>
    <row r="499">
      <c r="A499" s="2"/>
      <c r="B499" s="91"/>
      <c r="C499" s="2"/>
      <c r="H499" s="132"/>
      <c r="J499" s="133"/>
      <c r="M499" s="132"/>
      <c r="R499" s="132"/>
      <c r="W499" s="132"/>
      <c r="Z499" s="132"/>
      <c r="AA499" s="134"/>
      <c r="AB499" s="135"/>
      <c r="AF499" s="132"/>
      <c r="AG499" s="134"/>
    </row>
    <row r="500">
      <c r="A500" s="2"/>
      <c r="B500" s="91"/>
      <c r="C500" s="2"/>
      <c r="H500" s="132"/>
      <c r="J500" s="133"/>
      <c r="M500" s="132"/>
      <c r="R500" s="132"/>
      <c r="W500" s="132"/>
      <c r="Z500" s="132"/>
      <c r="AA500" s="134"/>
      <c r="AB500" s="135"/>
      <c r="AF500" s="132"/>
      <c r="AG500" s="134"/>
    </row>
    <row r="501">
      <c r="A501" s="2"/>
      <c r="B501" s="91"/>
      <c r="C501" s="2"/>
      <c r="H501" s="132"/>
      <c r="J501" s="133"/>
      <c r="M501" s="132"/>
      <c r="R501" s="132"/>
      <c r="W501" s="132"/>
      <c r="Z501" s="132"/>
      <c r="AA501" s="134"/>
      <c r="AB501" s="135"/>
      <c r="AF501" s="132"/>
      <c r="AG501" s="134"/>
    </row>
    <row r="502">
      <c r="A502" s="2"/>
      <c r="B502" s="91"/>
      <c r="C502" s="2"/>
      <c r="H502" s="132"/>
      <c r="J502" s="133"/>
      <c r="M502" s="132"/>
      <c r="R502" s="132"/>
      <c r="W502" s="132"/>
      <c r="Z502" s="132"/>
      <c r="AA502" s="134"/>
      <c r="AB502" s="135"/>
      <c r="AF502" s="132"/>
      <c r="AG502" s="134"/>
    </row>
    <row r="503">
      <c r="A503" s="2"/>
      <c r="B503" s="91"/>
      <c r="C503" s="2"/>
      <c r="H503" s="132"/>
      <c r="J503" s="133"/>
      <c r="M503" s="132"/>
      <c r="R503" s="132"/>
      <c r="W503" s="132"/>
      <c r="Z503" s="132"/>
      <c r="AA503" s="134"/>
      <c r="AB503" s="135"/>
      <c r="AF503" s="132"/>
      <c r="AG503" s="134"/>
    </row>
    <row r="504">
      <c r="A504" s="2"/>
      <c r="B504" s="91"/>
      <c r="C504" s="2"/>
      <c r="H504" s="132"/>
      <c r="J504" s="133"/>
      <c r="M504" s="132"/>
      <c r="R504" s="132"/>
      <c r="W504" s="132"/>
      <c r="Z504" s="132"/>
      <c r="AA504" s="134"/>
      <c r="AB504" s="135"/>
      <c r="AF504" s="132"/>
      <c r="AG504" s="134"/>
    </row>
    <row r="505">
      <c r="A505" s="2"/>
      <c r="B505" s="91"/>
      <c r="C505" s="2"/>
      <c r="H505" s="132"/>
      <c r="J505" s="133"/>
      <c r="M505" s="132"/>
      <c r="R505" s="132"/>
      <c r="W505" s="132"/>
      <c r="Z505" s="132"/>
      <c r="AA505" s="134"/>
      <c r="AB505" s="135"/>
      <c r="AF505" s="132"/>
      <c r="AG505" s="134"/>
    </row>
    <row r="506">
      <c r="A506" s="2"/>
      <c r="B506" s="91"/>
      <c r="C506" s="2"/>
      <c r="H506" s="132"/>
      <c r="J506" s="133"/>
      <c r="M506" s="132"/>
      <c r="R506" s="132"/>
      <c r="W506" s="132"/>
      <c r="Z506" s="132"/>
      <c r="AA506" s="134"/>
      <c r="AB506" s="135"/>
      <c r="AF506" s="132"/>
      <c r="AG506" s="134"/>
    </row>
    <row r="507">
      <c r="A507" s="2"/>
      <c r="B507" s="91"/>
      <c r="C507" s="2"/>
      <c r="H507" s="132"/>
      <c r="J507" s="133"/>
      <c r="M507" s="132"/>
      <c r="R507" s="132"/>
      <c r="W507" s="132"/>
      <c r="Z507" s="132"/>
      <c r="AA507" s="134"/>
      <c r="AB507" s="135"/>
      <c r="AF507" s="132"/>
      <c r="AG507" s="134"/>
    </row>
    <row r="508">
      <c r="A508" s="2"/>
      <c r="B508" s="91"/>
      <c r="C508" s="2"/>
      <c r="H508" s="132"/>
      <c r="J508" s="133"/>
      <c r="M508" s="132"/>
      <c r="R508" s="132"/>
      <c r="W508" s="132"/>
      <c r="Z508" s="132"/>
      <c r="AA508" s="134"/>
      <c r="AB508" s="135"/>
      <c r="AF508" s="132"/>
      <c r="AG508" s="134"/>
    </row>
    <row r="509">
      <c r="A509" s="2"/>
      <c r="B509" s="91"/>
      <c r="C509" s="2"/>
      <c r="H509" s="132"/>
      <c r="J509" s="133"/>
      <c r="M509" s="132"/>
      <c r="R509" s="132"/>
      <c r="W509" s="132"/>
      <c r="Z509" s="132"/>
      <c r="AA509" s="134"/>
      <c r="AB509" s="135"/>
      <c r="AF509" s="132"/>
      <c r="AG509" s="134"/>
    </row>
    <row r="510">
      <c r="A510" s="2"/>
      <c r="B510" s="91"/>
      <c r="C510" s="2"/>
      <c r="H510" s="132"/>
      <c r="J510" s="133"/>
      <c r="M510" s="132"/>
      <c r="R510" s="132"/>
      <c r="W510" s="132"/>
      <c r="Z510" s="132"/>
      <c r="AA510" s="134"/>
      <c r="AB510" s="135"/>
      <c r="AF510" s="132"/>
      <c r="AG510" s="134"/>
    </row>
    <row r="511">
      <c r="A511" s="2"/>
      <c r="B511" s="91"/>
      <c r="C511" s="2"/>
      <c r="H511" s="132"/>
      <c r="J511" s="133"/>
      <c r="M511" s="132"/>
      <c r="R511" s="132"/>
      <c r="W511" s="132"/>
      <c r="Z511" s="132"/>
      <c r="AA511" s="134"/>
      <c r="AB511" s="135"/>
      <c r="AF511" s="132"/>
      <c r="AG511" s="134"/>
    </row>
    <row r="512">
      <c r="A512" s="2"/>
      <c r="B512" s="91"/>
      <c r="C512" s="2"/>
      <c r="H512" s="132"/>
      <c r="J512" s="133"/>
      <c r="M512" s="132"/>
      <c r="R512" s="132"/>
      <c r="W512" s="132"/>
      <c r="Z512" s="132"/>
      <c r="AA512" s="134"/>
      <c r="AB512" s="135"/>
      <c r="AF512" s="132"/>
      <c r="AG512" s="134"/>
    </row>
    <row r="513">
      <c r="A513" s="2"/>
      <c r="B513" s="91"/>
      <c r="C513" s="2"/>
      <c r="H513" s="132"/>
      <c r="J513" s="133"/>
      <c r="M513" s="132"/>
      <c r="R513" s="132"/>
      <c r="W513" s="132"/>
      <c r="Z513" s="132"/>
      <c r="AA513" s="134"/>
      <c r="AB513" s="135"/>
      <c r="AF513" s="132"/>
      <c r="AG513" s="134"/>
    </row>
    <row r="514">
      <c r="A514" s="2"/>
      <c r="B514" s="91"/>
      <c r="C514" s="2"/>
      <c r="H514" s="132"/>
      <c r="J514" s="133"/>
      <c r="M514" s="132"/>
      <c r="R514" s="132"/>
      <c r="W514" s="132"/>
      <c r="Z514" s="132"/>
      <c r="AA514" s="134"/>
      <c r="AB514" s="135"/>
      <c r="AF514" s="132"/>
      <c r="AG514" s="134"/>
    </row>
    <row r="515">
      <c r="A515" s="2"/>
      <c r="B515" s="91"/>
      <c r="C515" s="2"/>
      <c r="H515" s="132"/>
      <c r="J515" s="133"/>
      <c r="M515" s="132"/>
      <c r="R515" s="132"/>
      <c r="W515" s="132"/>
      <c r="Z515" s="132"/>
      <c r="AA515" s="134"/>
      <c r="AB515" s="135"/>
      <c r="AF515" s="132"/>
      <c r="AG515" s="134"/>
    </row>
    <row r="516">
      <c r="A516" s="2"/>
      <c r="B516" s="91"/>
      <c r="C516" s="2"/>
      <c r="H516" s="132"/>
      <c r="J516" s="133"/>
      <c r="M516" s="132"/>
      <c r="R516" s="132"/>
      <c r="W516" s="132"/>
      <c r="Z516" s="132"/>
      <c r="AA516" s="134"/>
      <c r="AB516" s="135"/>
      <c r="AF516" s="132"/>
      <c r="AG516" s="134"/>
    </row>
    <row r="517">
      <c r="A517" s="2"/>
      <c r="B517" s="91"/>
      <c r="C517" s="2"/>
      <c r="H517" s="132"/>
      <c r="J517" s="133"/>
      <c r="M517" s="132"/>
      <c r="R517" s="132"/>
      <c r="W517" s="132"/>
      <c r="Z517" s="132"/>
      <c r="AA517" s="134"/>
      <c r="AB517" s="135"/>
      <c r="AF517" s="132"/>
      <c r="AG517" s="134"/>
    </row>
    <row r="518">
      <c r="A518" s="2"/>
      <c r="B518" s="91"/>
      <c r="C518" s="2"/>
      <c r="H518" s="132"/>
      <c r="J518" s="133"/>
      <c r="M518" s="132"/>
      <c r="R518" s="132"/>
      <c r="W518" s="132"/>
      <c r="Z518" s="132"/>
      <c r="AA518" s="134"/>
      <c r="AB518" s="135"/>
      <c r="AF518" s="132"/>
      <c r="AG518" s="134"/>
    </row>
    <row r="519">
      <c r="A519" s="2"/>
      <c r="B519" s="91"/>
      <c r="C519" s="2"/>
      <c r="H519" s="132"/>
      <c r="J519" s="133"/>
      <c r="M519" s="132"/>
      <c r="R519" s="132"/>
      <c r="W519" s="132"/>
      <c r="Z519" s="132"/>
      <c r="AA519" s="134"/>
      <c r="AB519" s="135"/>
      <c r="AF519" s="132"/>
      <c r="AG519" s="134"/>
    </row>
    <row r="520">
      <c r="A520" s="2"/>
      <c r="B520" s="91"/>
      <c r="C520" s="2"/>
      <c r="H520" s="132"/>
      <c r="J520" s="133"/>
      <c r="M520" s="132"/>
      <c r="R520" s="132"/>
      <c r="W520" s="132"/>
      <c r="Z520" s="132"/>
      <c r="AA520" s="134"/>
      <c r="AB520" s="135"/>
      <c r="AF520" s="132"/>
      <c r="AG520" s="134"/>
    </row>
    <row r="521">
      <c r="A521" s="2"/>
      <c r="B521" s="91"/>
      <c r="C521" s="2"/>
      <c r="H521" s="132"/>
      <c r="J521" s="133"/>
      <c r="M521" s="132"/>
      <c r="R521" s="132"/>
      <c r="W521" s="132"/>
      <c r="Z521" s="132"/>
      <c r="AA521" s="134"/>
      <c r="AB521" s="135"/>
      <c r="AF521" s="132"/>
      <c r="AG521" s="134"/>
    </row>
    <row r="522">
      <c r="A522" s="2"/>
      <c r="B522" s="91"/>
      <c r="C522" s="2"/>
      <c r="H522" s="132"/>
      <c r="J522" s="133"/>
      <c r="M522" s="132"/>
      <c r="R522" s="132"/>
      <c r="W522" s="132"/>
      <c r="Z522" s="132"/>
      <c r="AA522" s="134"/>
      <c r="AB522" s="135"/>
      <c r="AF522" s="132"/>
      <c r="AG522" s="134"/>
    </row>
    <row r="523">
      <c r="A523" s="2"/>
      <c r="B523" s="91"/>
      <c r="C523" s="2"/>
      <c r="H523" s="132"/>
      <c r="J523" s="133"/>
      <c r="M523" s="132"/>
      <c r="R523" s="132"/>
      <c r="W523" s="132"/>
      <c r="Z523" s="132"/>
      <c r="AA523" s="134"/>
      <c r="AB523" s="135"/>
      <c r="AF523" s="132"/>
      <c r="AG523" s="134"/>
    </row>
    <row r="524">
      <c r="A524" s="2"/>
      <c r="B524" s="91"/>
      <c r="C524" s="2"/>
      <c r="H524" s="132"/>
      <c r="J524" s="133"/>
      <c r="M524" s="132"/>
      <c r="R524" s="132"/>
      <c r="W524" s="132"/>
      <c r="Z524" s="132"/>
      <c r="AA524" s="134"/>
      <c r="AB524" s="135"/>
      <c r="AF524" s="132"/>
      <c r="AG524" s="134"/>
    </row>
    <row r="525">
      <c r="A525" s="2"/>
      <c r="B525" s="91"/>
      <c r="C525" s="2"/>
      <c r="H525" s="132"/>
      <c r="J525" s="133"/>
      <c r="M525" s="132"/>
      <c r="R525" s="132"/>
      <c r="W525" s="132"/>
      <c r="Z525" s="132"/>
      <c r="AA525" s="134"/>
      <c r="AB525" s="135"/>
      <c r="AF525" s="132"/>
      <c r="AG525" s="134"/>
    </row>
    <row r="526">
      <c r="A526" s="2"/>
      <c r="B526" s="91"/>
      <c r="C526" s="2"/>
      <c r="H526" s="132"/>
      <c r="J526" s="133"/>
      <c r="M526" s="132"/>
      <c r="R526" s="132"/>
      <c r="W526" s="132"/>
      <c r="Z526" s="132"/>
      <c r="AA526" s="134"/>
      <c r="AB526" s="135"/>
      <c r="AF526" s="132"/>
      <c r="AG526" s="134"/>
    </row>
    <row r="527">
      <c r="A527" s="2"/>
      <c r="B527" s="91"/>
      <c r="C527" s="2"/>
      <c r="H527" s="132"/>
      <c r="J527" s="133"/>
      <c r="M527" s="132"/>
      <c r="R527" s="132"/>
      <c r="W527" s="132"/>
      <c r="Z527" s="132"/>
      <c r="AA527" s="134"/>
      <c r="AB527" s="135"/>
      <c r="AF527" s="132"/>
      <c r="AG527" s="134"/>
    </row>
    <row r="528">
      <c r="A528" s="2"/>
      <c r="B528" s="91"/>
      <c r="C528" s="2"/>
      <c r="H528" s="132"/>
      <c r="J528" s="133"/>
      <c r="M528" s="132"/>
      <c r="R528" s="132"/>
      <c r="W528" s="132"/>
      <c r="Z528" s="132"/>
      <c r="AA528" s="134"/>
      <c r="AB528" s="135"/>
      <c r="AF528" s="132"/>
      <c r="AG528" s="134"/>
    </row>
    <row r="529">
      <c r="A529" s="2"/>
      <c r="B529" s="91"/>
      <c r="C529" s="2"/>
      <c r="H529" s="132"/>
      <c r="J529" s="133"/>
      <c r="M529" s="132"/>
      <c r="R529" s="132"/>
      <c r="W529" s="132"/>
      <c r="Z529" s="132"/>
      <c r="AA529" s="134"/>
      <c r="AB529" s="135"/>
      <c r="AF529" s="132"/>
      <c r="AG529" s="134"/>
    </row>
    <row r="530">
      <c r="A530" s="2"/>
      <c r="B530" s="91"/>
      <c r="C530" s="2"/>
      <c r="H530" s="132"/>
      <c r="J530" s="133"/>
      <c r="M530" s="132"/>
      <c r="R530" s="132"/>
      <c r="W530" s="132"/>
      <c r="Z530" s="132"/>
      <c r="AA530" s="134"/>
      <c r="AB530" s="135"/>
      <c r="AF530" s="132"/>
      <c r="AG530" s="134"/>
    </row>
    <row r="531">
      <c r="A531" s="2"/>
      <c r="B531" s="91"/>
      <c r="C531" s="2"/>
      <c r="H531" s="132"/>
      <c r="J531" s="133"/>
      <c r="M531" s="132"/>
      <c r="R531" s="132"/>
      <c r="W531" s="132"/>
      <c r="Z531" s="132"/>
      <c r="AA531" s="134"/>
      <c r="AB531" s="135"/>
      <c r="AF531" s="132"/>
      <c r="AG531" s="134"/>
    </row>
    <row r="532">
      <c r="A532" s="2"/>
      <c r="B532" s="91"/>
      <c r="C532" s="2"/>
      <c r="H532" s="132"/>
      <c r="J532" s="133"/>
      <c r="M532" s="132"/>
      <c r="R532" s="132"/>
      <c r="W532" s="132"/>
      <c r="Z532" s="132"/>
      <c r="AA532" s="134"/>
      <c r="AB532" s="135"/>
      <c r="AF532" s="132"/>
      <c r="AG532" s="134"/>
    </row>
    <row r="533">
      <c r="A533" s="2"/>
      <c r="B533" s="91"/>
      <c r="C533" s="2"/>
      <c r="H533" s="132"/>
      <c r="J533" s="133"/>
      <c r="M533" s="132"/>
      <c r="R533" s="132"/>
      <c r="W533" s="132"/>
      <c r="Z533" s="132"/>
      <c r="AA533" s="134"/>
      <c r="AB533" s="135"/>
      <c r="AF533" s="132"/>
      <c r="AG533" s="134"/>
    </row>
    <row r="534">
      <c r="A534" s="2"/>
      <c r="B534" s="91"/>
      <c r="C534" s="2"/>
      <c r="H534" s="132"/>
      <c r="J534" s="133"/>
      <c r="M534" s="132"/>
      <c r="R534" s="132"/>
      <c r="W534" s="132"/>
      <c r="Z534" s="132"/>
      <c r="AA534" s="134"/>
      <c r="AB534" s="135"/>
      <c r="AF534" s="132"/>
      <c r="AG534" s="134"/>
    </row>
    <row r="535">
      <c r="A535" s="2"/>
      <c r="B535" s="91"/>
      <c r="C535" s="2"/>
      <c r="H535" s="132"/>
      <c r="J535" s="133"/>
      <c r="M535" s="132"/>
      <c r="R535" s="132"/>
      <c r="W535" s="132"/>
      <c r="Z535" s="132"/>
      <c r="AA535" s="134"/>
      <c r="AB535" s="135"/>
      <c r="AF535" s="132"/>
      <c r="AG535" s="134"/>
    </row>
    <row r="536">
      <c r="A536" s="2"/>
      <c r="B536" s="91"/>
      <c r="C536" s="2"/>
      <c r="H536" s="132"/>
      <c r="J536" s="133"/>
      <c r="M536" s="132"/>
      <c r="R536" s="132"/>
      <c r="W536" s="132"/>
      <c r="Z536" s="132"/>
      <c r="AA536" s="134"/>
      <c r="AB536" s="135"/>
      <c r="AF536" s="132"/>
      <c r="AG536" s="134"/>
    </row>
    <row r="537">
      <c r="A537" s="2"/>
      <c r="B537" s="91"/>
      <c r="C537" s="2"/>
      <c r="H537" s="132"/>
      <c r="J537" s="133"/>
      <c r="M537" s="132"/>
      <c r="R537" s="132"/>
      <c r="W537" s="132"/>
      <c r="Z537" s="132"/>
      <c r="AA537" s="134"/>
      <c r="AB537" s="135"/>
      <c r="AF537" s="132"/>
      <c r="AG537" s="134"/>
    </row>
    <row r="538">
      <c r="A538" s="2"/>
      <c r="B538" s="91"/>
      <c r="C538" s="2"/>
      <c r="H538" s="132"/>
      <c r="J538" s="133"/>
      <c r="M538" s="132"/>
      <c r="R538" s="132"/>
      <c r="W538" s="132"/>
      <c r="Z538" s="132"/>
      <c r="AA538" s="134"/>
      <c r="AB538" s="135"/>
      <c r="AF538" s="132"/>
      <c r="AG538" s="134"/>
    </row>
    <row r="539">
      <c r="A539" s="2"/>
      <c r="B539" s="91"/>
      <c r="C539" s="2"/>
      <c r="H539" s="132"/>
      <c r="J539" s="133"/>
      <c r="M539" s="132"/>
      <c r="R539" s="132"/>
      <c r="W539" s="132"/>
      <c r="Z539" s="132"/>
      <c r="AA539" s="134"/>
      <c r="AB539" s="135"/>
      <c r="AF539" s="132"/>
      <c r="AG539" s="134"/>
    </row>
    <row r="540">
      <c r="A540" s="2"/>
      <c r="B540" s="91"/>
      <c r="C540" s="2"/>
      <c r="H540" s="132"/>
      <c r="J540" s="133"/>
      <c r="M540" s="132"/>
      <c r="R540" s="132"/>
      <c r="W540" s="132"/>
      <c r="Z540" s="132"/>
      <c r="AA540" s="134"/>
      <c r="AB540" s="135"/>
      <c r="AF540" s="132"/>
      <c r="AG540" s="134"/>
    </row>
    <row r="541">
      <c r="A541" s="2"/>
      <c r="B541" s="91"/>
      <c r="C541" s="2"/>
      <c r="H541" s="132"/>
      <c r="J541" s="133"/>
      <c r="M541" s="132"/>
      <c r="R541" s="132"/>
      <c r="W541" s="132"/>
      <c r="Z541" s="132"/>
      <c r="AA541" s="134"/>
      <c r="AB541" s="135"/>
      <c r="AF541" s="132"/>
      <c r="AG541" s="134"/>
    </row>
    <row r="542">
      <c r="A542" s="2"/>
      <c r="B542" s="91"/>
      <c r="C542" s="2"/>
      <c r="H542" s="132"/>
      <c r="J542" s="133"/>
      <c r="M542" s="132"/>
      <c r="R542" s="132"/>
      <c r="W542" s="132"/>
      <c r="Z542" s="132"/>
      <c r="AA542" s="134"/>
      <c r="AB542" s="135"/>
      <c r="AF542" s="132"/>
      <c r="AG542" s="134"/>
    </row>
    <row r="543">
      <c r="A543" s="2"/>
      <c r="B543" s="91"/>
      <c r="C543" s="2"/>
      <c r="H543" s="132"/>
      <c r="J543" s="133"/>
      <c r="M543" s="132"/>
      <c r="R543" s="132"/>
      <c r="W543" s="132"/>
      <c r="Z543" s="132"/>
      <c r="AA543" s="134"/>
      <c r="AB543" s="135"/>
      <c r="AF543" s="132"/>
      <c r="AG543" s="134"/>
    </row>
    <row r="544">
      <c r="A544" s="2"/>
      <c r="B544" s="91"/>
      <c r="C544" s="2"/>
      <c r="H544" s="132"/>
      <c r="J544" s="133"/>
      <c r="M544" s="132"/>
      <c r="R544" s="132"/>
      <c r="W544" s="132"/>
      <c r="Z544" s="132"/>
      <c r="AA544" s="134"/>
      <c r="AB544" s="135"/>
      <c r="AF544" s="132"/>
      <c r="AG544" s="134"/>
    </row>
    <row r="545">
      <c r="A545" s="2"/>
      <c r="B545" s="91"/>
      <c r="C545" s="2"/>
      <c r="H545" s="132"/>
      <c r="J545" s="133"/>
      <c r="M545" s="132"/>
      <c r="R545" s="132"/>
      <c r="W545" s="132"/>
      <c r="Z545" s="132"/>
      <c r="AA545" s="134"/>
      <c r="AB545" s="135"/>
      <c r="AF545" s="132"/>
      <c r="AG545" s="134"/>
    </row>
    <row r="546">
      <c r="A546" s="2"/>
      <c r="B546" s="91"/>
      <c r="C546" s="2"/>
      <c r="H546" s="132"/>
      <c r="J546" s="133"/>
      <c r="M546" s="132"/>
      <c r="R546" s="132"/>
      <c r="W546" s="132"/>
      <c r="Z546" s="132"/>
      <c r="AA546" s="134"/>
      <c r="AB546" s="135"/>
      <c r="AF546" s="132"/>
      <c r="AG546" s="134"/>
    </row>
    <row r="547">
      <c r="A547" s="2"/>
      <c r="B547" s="91"/>
      <c r="C547" s="2"/>
      <c r="H547" s="132"/>
      <c r="J547" s="133"/>
      <c r="M547" s="132"/>
      <c r="R547" s="132"/>
      <c r="W547" s="132"/>
      <c r="Z547" s="132"/>
      <c r="AA547" s="134"/>
      <c r="AB547" s="135"/>
      <c r="AF547" s="132"/>
      <c r="AG547" s="134"/>
    </row>
    <row r="548">
      <c r="A548" s="2"/>
      <c r="B548" s="91"/>
      <c r="C548" s="2"/>
      <c r="H548" s="132"/>
      <c r="J548" s="133"/>
      <c r="M548" s="132"/>
      <c r="R548" s="132"/>
      <c r="W548" s="132"/>
      <c r="Z548" s="132"/>
      <c r="AA548" s="134"/>
      <c r="AB548" s="135"/>
      <c r="AF548" s="132"/>
      <c r="AG548" s="134"/>
    </row>
    <row r="549">
      <c r="A549" s="2"/>
      <c r="B549" s="91"/>
      <c r="C549" s="2"/>
      <c r="H549" s="132"/>
      <c r="J549" s="133"/>
      <c r="M549" s="132"/>
      <c r="R549" s="132"/>
      <c r="W549" s="132"/>
      <c r="Z549" s="132"/>
      <c r="AA549" s="134"/>
      <c r="AB549" s="135"/>
      <c r="AF549" s="132"/>
      <c r="AG549" s="134"/>
    </row>
    <row r="550">
      <c r="A550" s="2"/>
      <c r="B550" s="91"/>
      <c r="C550" s="2"/>
      <c r="H550" s="132"/>
      <c r="J550" s="133"/>
      <c r="M550" s="132"/>
      <c r="R550" s="132"/>
      <c r="W550" s="132"/>
      <c r="Z550" s="132"/>
      <c r="AA550" s="134"/>
      <c r="AB550" s="135"/>
      <c r="AF550" s="132"/>
      <c r="AG550" s="134"/>
    </row>
    <row r="551">
      <c r="A551" s="2"/>
      <c r="B551" s="91"/>
      <c r="C551" s="2"/>
      <c r="H551" s="132"/>
      <c r="J551" s="133"/>
      <c r="M551" s="132"/>
      <c r="R551" s="132"/>
      <c r="W551" s="132"/>
      <c r="Z551" s="132"/>
      <c r="AA551" s="134"/>
      <c r="AB551" s="135"/>
      <c r="AF551" s="132"/>
      <c r="AG551" s="134"/>
    </row>
    <row r="552">
      <c r="A552" s="2"/>
      <c r="B552" s="91"/>
      <c r="C552" s="2"/>
      <c r="H552" s="132"/>
      <c r="J552" s="133"/>
      <c r="M552" s="132"/>
      <c r="R552" s="132"/>
      <c r="W552" s="132"/>
      <c r="Z552" s="132"/>
      <c r="AA552" s="134"/>
      <c r="AB552" s="135"/>
      <c r="AF552" s="132"/>
      <c r="AG552" s="134"/>
    </row>
    <row r="553">
      <c r="A553" s="2"/>
      <c r="B553" s="91"/>
      <c r="C553" s="2"/>
      <c r="H553" s="132"/>
      <c r="J553" s="133"/>
      <c r="M553" s="132"/>
      <c r="R553" s="132"/>
      <c r="W553" s="132"/>
      <c r="Z553" s="132"/>
      <c r="AA553" s="134"/>
      <c r="AB553" s="135"/>
      <c r="AF553" s="132"/>
      <c r="AG553" s="134"/>
    </row>
    <row r="554">
      <c r="A554" s="2"/>
      <c r="B554" s="91"/>
      <c r="C554" s="2"/>
      <c r="H554" s="132"/>
      <c r="J554" s="133"/>
      <c r="M554" s="132"/>
      <c r="R554" s="132"/>
      <c r="W554" s="132"/>
      <c r="Z554" s="132"/>
      <c r="AA554" s="134"/>
      <c r="AB554" s="135"/>
      <c r="AF554" s="132"/>
      <c r="AG554" s="134"/>
    </row>
    <row r="555">
      <c r="A555" s="2"/>
      <c r="B555" s="91"/>
      <c r="C555" s="2"/>
      <c r="H555" s="132"/>
      <c r="J555" s="133"/>
      <c r="M555" s="132"/>
      <c r="R555" s="132"/>
      <c r="W555" s="132"/>
      <c r="Z555" s="132"/>
      <c r="AA555" s="134"/>
      <c r="AB555" s="135"/>
      <c r="AF555" s="132"/>
      <c r="AG555" s="134"/>
    </row>
    <row r="556">
      <c r="A556" s="2"/>
      <c r="B556" s="91"/>
      <c r="C556" s="2"/>
      <c r="H556" s="132"/>
      <c r="J556" s="133"/>
      <c r="M556" s="132"/>
      <c r="R556" s="132"/>
      <c r="W556" s="132"/>
      <c r="Z556" s="132"/>
      <c r="AA556" s="134"/>
      <c r="AB556" s="135"/>
      <c r="AF556" s="132"/>
      <c r="AG556" s="134"/>
    </row>
    <row r="557">
      <c r="A557" s="2"/>
      <c r="B557" s="91"/>
      <c r="C557" s="2"/>
      <c r="H557" s="132"/>
      <c r="J557" s="133"/>
      <c r="M557" s="132"/>
      <c r="R557" s="132"/>
      <c r="W557" s="132"/>
      <c r="Z557" s="132"/>
      <c r="AA557" s="134"/>
      <c r="AB557" s="135"/>
      <c r="AF557" s="132"/>
      <c r="AG557" s="134"/>
    </row>
    <row r="558">
      <c r="A558" s="2"/>
      <c r="B558" s="91"/>
      <c r="C558" s="2"/>
      <c r="H558" s="132"/>
      <c r="J558" s="133"/>
      <c r="M558" s="132"/>
      <c r="R558" s="132"/>
      <c r="W558" s="132"/>
      <c r="Z558" s="132"/>
      <c r="AA558" s="134"/>
      <c r="AB558" s="135"/>
      <c r="AF558" s="132"/>
      <c r="AG558" s="134"/>
    </row>
    <row r="559">
      <c r="A559" s="2"/>
      <c r="B559" s="91"/>
      <c r="C559" s="2"/>
      <c r="H559" s="132"/>
      <c r="J559" s="133"/>
      <c r="M559" s="132"/>
      <c r="R559" s="132"/>
      <c r="W559" s="132"/>
      <c r="Z559" s="132"/>
      <c r="AA559" s="134"/>
      <c r="AB559" s="135"/>
      <c r="AF559" s="132"/>
      <c r="AG559" s="134"/>
    </row>
    <row r="560">
      <c r="A560" s="2"/>
      <c r="B560" s="91"/>
      <c r="C560" s="2"/>
      <c r="H560" s="132"/>
      <c r="J560" s="133"/>
      <c r="M560" s="132"/>
      <c r="R560" s="132"/>
      <c r="W560" s="132"/>
      <c r="Z560" s="132"/>
      <c r="AA560" s="134"/>
      <c r="AB560" s="135"/>
      <c r="AF560" s="132"/>
      <c r="AG560" s="134"/>
    </row>
    <row r="561">
      <c r="A561" s="2"/>
      <c r="B561" s="91"/>
      <c r="C561" s="2"/>
      <c r="H561" s="132"/>
      <c r="J561" s="133"/>
      <c r="M561" s="132"/>
      <c r="R561" s="132"/>
      <c r="W561" s="132"/>
      <c r="Z561" s="132"/>
      <c r="AA561" s="134"/>
      <c r="AB561" s="135"/>
      <c r="AF561" s="132"/>
      <c r="AG561" s="134"/>
    </row>
    <row r="562">
      <c r="A562" s="2"/>
      <c r="B562" s="91"/>
      <c r="C562" s="2"/>
      <c r="H562" s="132"/>
      <c r="J562" s="133"/>
      <c r="M562" s="132"/>
      <c r="R562" s="132"/>
      <c r="W562" s="132"/>
      <c r="Z562" s="132"/>
      <c r="AA562" s="134"/>
      <c r="AB562" s="135"/>
      <c r="AF562" s="132"/>
      <c r="AG562" s="134"/>
    </row>
    <row r="563">
      <c r="A563" s="2"/>
      <c r="B563" s="91"/>
      <c r="C563" s="2"/>
      <c r="H563" s="132"/>
      <c r="J563" s="133"/>
      <c r="M563" s="132"/>
      <c r="R563" s="132"/>
      <c r="W563" s="132"/>
      <c r="Z563" s="132"/>
      <c r="AA563" s="134"/>
      <c r="AB563" s="135"/>
      <c r="AF563" s="132"/>
      <c r="AG563" s="134"/>
    </row>
    <row r="564">
      <c r="A564" s="2"/>
      <c r="B564" s="91"/>
      <c r="C564" s="2"/>
      <c r="H564" s="132"/>
      <c r="J564" s="133"/>
      <c r="M564" s="132"/>
      <c r="R564" s="132"/>
      <c r="W564" s="132"/>
      <c r="Z564" s="132"/>
      <c r="AA564" s="134"/>
      <c r="AB564" s="135"/>
      <c r="AF564" s="132"/>
      <c r="AG564" s="134"/>
    </row>
    <row r="565">
      <c r="A565" s="2"/>
      <c r="B565" s="91"/>
      <c r="C565" s="2"/>
      <c r="H565" s="132"/>
      <c r="J565" s="133"/>
      <c r="M565" s="132"/>
      <c r="R565" s="132"/>
      <c r="W565" s="132"/>
      <c r="Z565" s="132"/>
      <c r="AA565" s="134"/>
      <c r="AB565" s="135"/>
      <c r="AF565" s="132"/>
      <c r="AG565" s="134"/>
    </row>
    <row r="566">
      <c r="A566" s="2"/>
      <c r="B566" s="91"/>
      <c r="C566" s="2"/>
      <c r="H566" s="132"/>
      <c r="J566" s="133"/>
      <c r="M566" s="132"/>
      <c r="R566" s="132"/>
      <c r="W566" s="132"/>
      <c r="Z566" s="132"/>
      <c r="AA566" s="134"/>
      <c r="AB566" s="135"/>
      <c r="AF566" s="132"/>
      <c r="AG566" s="134"/>
    </row>
    <row r="567">
      <c r="A567" s="2"/>
      <c r="B567" s="91"/>
      <c r="C567" s="2"/>
      <c r="H567" s="132"/>
      <c r="J567" s="133"/>
      <c r="M567" s="132"/>
      <c r="R567" s="132"/>
      <c r="W567" s="132"/>
      <c r="Z567" s="132"/>
      <c r="AA567" s="134"/>
      <c r="AB567" s="135"/>
      <c r="AF567" s="132"/>
      <c r="AG567" s="134"/>
    </row>
    <row r="568">
      <c r="A568" s="2"/>
      <c r="B568" s="91"/>
      <c r="C568" s="2"/>
      <c r="H568" s="132"/>
      <c r="J568" s="133"/>
      <c r="M568" s="132"/>
      <c r="R568" s="132"/>
      <c r="W568" s="132"/>
      <c r="Z568" s="132"/>
      <c r="AA568" s="134"/>
      <c r="AB568" s="135"/>
      <c r="AF568" s="132"/>
      <c r="AG568" s="134"/>
    </row>
    <row r="569">
      <c r="A569" s="2"/>
      <c r="B569" s="91"/>
      <c r="C569" s="2"/>
      <c r="H569" s="132"/>
      <c r="J569" s="133"/>
      <c r="M569" s="132"/>
      <c r="R569" s="132"/>
      <c r="W569" s="132"/>
      <c r="Z569" s="132"/>
      <c r="AA569" s="134"/>
      <c r="AB569" s="135"/>
      <c r="AF569" s="132"/>
      <c r="AG569" s="134"/>
    </row>
    <row r="570">
      <c r="A570" s="2"/>
      <c r="B570" s="91"/>
      <c r="C570" s="2"/>
      <c r="H570" s="132"/>
      <c r="J570" s="133"/>
      <c r="M570" s="132"/>
      <c r="R570" s="132"/>
      <c r="W570" s="132"/>
      <c r="Z570" s="132"/>
      <c r="AA570" s="134"/>
      <c r="AB570" s="135"/>
      <c r="AF570" s="132"/>
      <c r="AG570" s="134"/>
    </row>
    <row r="571">
      <c r="A571" s="2"/>
      <c r="B571" s="91"/>
      <c r="C571" s="2"/>
      <c r="H571" s="132"/>
      <c r="J571" s="133"/>
      <c r="M571" s="132"/>
      <c r="R571" s="132"/>
      <c r="W571" s="132"/>
      <c r="Z571" s="132"/>
      <c r="AA571" s="134"/>
      <c r="AB571" s="135"/>
      <c r="AF571" s="132"/>
      <c r="AG571" s="134"/>
    </row>
    <row r="572">
      <c r="A572" s="2"/>
      <c r="B572" s="91"/>
      <c r="C572" s="2"/>
      <c r="H572" s="132"/>
      <c r="J572" s="133"/>
      <c r="M572" s="132"/>
      <c r="R572" s="132"/>
      <c r="W572" s="132"/>
      <c r="Z572" s="132"/>
      <c r="AA572" s="134"/>
      <c r="AB572" s="135"/>
      <c r="AF572" s="132"/>
      <c r="AG572" s="134"/>
    </row>
    <row r="573">
      <c r="A573" s="2"/>
      <c r="B573" s="91"/>
      <c r="C573" s="2"/>
      <c r="H573" s="132"/>
      <c r="J573" s="133"/>
      <c r="M573" s="132"/>
      <c r="R573" s="132"/>
      <c r="W573" s="132"/>
      <c r="Z573" s="132"/>
      <c r="AA573" s="134"/>
      <c r="AB573" s="135"/>
      <c r="AF573" s="132"/>
      <c r="AG573" s="134"/>
    </row>
    <row r="574">
      <c r="A574" s="2"/>
      <c r="B574" s="91"/>
      <c r="C574" s="2"/>
      <c r="H574" s="132"/>
      <c r="J574" s="133"/>
      <c r="M574" s="132"/>
      <c r="R574" s="132"/>
      <c r="W574" s="132"/>
      <c r="Z574" s="132"/>
      <c r="AA574" s="134"/>
      <c r="AB574" s="135"/>
      <c r="AF574" s="132"/>
      <c r="AG574" s="134"/>
    </row>
    <row r="575">
      <c r="A575" s="2"/>
      <c r="B575" s="91"/>
      <c r="C575" s="2"/>
      <c r="H575" s="132"/>
      <c r="J575" s="133"/>
      <c r="M575" s="132"/>
      <c r="R575" s="132"/>
      <c r="W575" s="132"/>
      <c r="Z575" s="132"/>
      <c r="AA575" s="134"/>
      <c r="AB575" s="135"/>
      <c r="AF575" s="132"/>
      <c r="AG575" s="134"/>
    </row>
    <row r="576">
      <c r="A576" s="2"/>
      <c r="B576" s="91"/>
      <c r="C576" s="2"/>
      <c r="H576" s="132"/>
      <c r="J576" s="133"/>
      <c r="M576" s="132"/>
      <c r="R576" s="132"/>
      <c r="W576" s="132"/>
      <c r="Z576" s="132"/>
      <c r="AA576" s="134"/>
      <c r="AB576" s="135"/>
      <c r="AF576" s="132"/>
      <c r="AG576" s="134"/>
    </row>
    <row r="577">
      <c r="A577" s="2"/>
      <c r="B577" s="91"/>
      <c r="C577" s="2"/>
      <c r="H577" s="132"/>
      <c r="J577" s="133"/>
      <c r="M577" s="132"/>
      <c r="R577" s="132"/>
      <c r="W577" s="132"/>
      <c r="Z577" s="132"/>
      <c r="AA577" s="134"/>
      <c r="AB577" s="135"/>
      <c r="AF577" s="132"/>
      <c r="AG577" s="134"/>
    </row>
    <row r="578">
      <c r="A578" s="2"/>
      <c r="B578" s="91"/>
      <c r="C578" s="2"/>
      <c r="H578" s="132"/>
      <c r="J578" s="133"/>
      <c r="M578" s="132"/>
      <c r="R578" s="132"/>
      <c r="W578" s="132"/>
      <c r="Z578" s="132"/>
      <c r="AA578" s="134"/>
      <c r="AB578" s="135"/>
      <c r="AF578" s="132"/>
      <c r="AG578" s="134"/>
    </row>
    <row r="579">
      <c r="A579" s="2"/>
      <c r="B579" s="91"/>
      <c r="C579" s="2"/>
      <c r="H579" s="132"/>
      <c r="J579" s="133"/>
      <c r="M579" s="132"/>
      <c r="R579" s="132"/>
      <c r="W579" s="132"/>
      <c r="Z579" s="132"/>
      <c r="AA579" s="134"/>
      <c r="AB579" s="135"/>
      <c r="AF579" s="132"/>
      <c r="AG579" s="134"/>
    </row>
    <row r="580">
      <c r="A580" s="2"/>
      <c r="B580" s="91"/>
      <c r="C580" s="2"/>
      <c r="H580" s="132"/>
      <c r="J580" s="133"/>
      <c r="M580" s="132"/>
      <c r="R580" s="132"/>
      <c r="W580" s="132"/>
      <c r="Z580" s="132"/>
      <c r="AA580" s="134"/>
      <c r="AB580" s="135"/>
      <c r="AF580" s="132"/>
      <c r="AG580" s="134"/>
    </row>
    <row r="581">
      <c r="A581" s="2"/>
      <c r="B581" s="91"/>
      <c r="C581" s="2"/>
      <c r="H581" s="132"/>
      <c r="J581" s="133"/>
      <c r="M581" s="132"/>
      <c r="R581" s="132"/>
      <c r="W581" s="132"/>
      <c r="Z581" s="132"/>
      <c r="AA581" s="134"/>
      <c r="AB581" s="135"/>
      <c r="AF581" s="132"/>
      <c r="AG581" s="134"/>
    </row>
    <row r="582">
      <c r="A582" s="2"/>
      <c r="B582" s="91"/>
      <c r="C582" s="2"/>
      <c r="H582" s="132"/>
      <c r="J582" s="133"/>
      <c r="M582" s="132"/>
      <c r="R582" s="132"/>
      <c r="W582" s="132"/>
      <c r="Z582" s="132"/>
      <c r="AA582" s="134"/>
      <c r="AB582" s="135"/>
      <c r="AF582" s="132"/>
      <c r="AG582" s="134"/>
    </row>
    <row r="583">
      <c r="A583" s="2"/>
      <c r="B583" s="91"/>
      <c r="C583" s="2"/>
      <c r="H583" s="132"/>
      <c r="J583" s="133"/>
      <c r="M583" s="132"/>
      <c r="R583" s="132"/>
      <c r="W583" s="132"/>
      <c r="Z583" s="132"/>
      <c r="AA583" s="134"/>
      <c r="AB583" s="135"/>
      <c r="AF583" s="132"/>
      <c r="AG583" s="134"/>
    </row>
    <row r="584">
      <c r="A584" s="2"/>
      <c r="B584" s="91"/>
      <c r="C584" s="2"/>
      <c r="H584" s="132"/>
      <c r="J584" s="133"/>
      <c r="M584" s="132"/>
      <c r="R584" s="132"/>
      <c r="W584" s="132"/>
      <c r="Z584" s="132"/>
      <c r="AA584" s="134"/>
      <c r="AB584" s="135"/>
      <c r="AF584" s="132"/>
      <c r="AG584" s="134"/>
    </row>
    <row r="585">
      <c r="A585" s="2"/>
      <c r="B585" s="91"/>
      <c r="C585" s="2"/>
      <c r="H585" s="132"/>
      <c r="J585" s="133"/>
      <c r="M585" s="132"/>
      <c r="R585" s="132"/>
      <c r="W585" s="132"/>
      <c r="Z585" s="132"/>
      <c r="AA585" s="134"/>
      <c r="AB585" s="135"/>
      <c r="AF585" s="132"/>
      <c r="AG585" s="134"/>
    </row>
    <row r="586">
      <c r="A586" s="2"/>
      <c r="B586" s="91"/>
      <c r="C586" s="2"/>
      <c r="H586" s="132"/>
      <c r="J586" s="133"/>
      <c r="M586" s="132"/>
      <c r="R586" s="132"/>
      <c r="W586" s="132"/>
      <c r="Z586" s="132"/>
      <c r="AA586" s="134"/>
      <c r="AB586" s="135"/>
      <c r="AF586" s="132"/>
      <c r="AG586" s="134"/>
    </row>
    <row r="587">
      <c r="A587" s="2"/>
      <c r="B587" s="91"/>
      <c r="C587" s="2"/>
      <c r="H587" s="132"/>
      <c r="J587" s="133"/>
      <c r="M587" s="132"/>
      <c r="R587" s="132"/>
      <c r="W587" s="132"/>
      <c r="Z587" s="132"/>
      <c r="AA587" s="134"/>
      <c r="AB587" s="135"/>
      <c r="AF587" s="132"/>
      <c r="AG587" s="134"/>
    </row>
    <row r="588">
      <c r="A588" s="2"/>
      <c r="B588" s="91"/>
      <c r="C588" s="2"/>
      <c r="H588" s="132"/>
      <c r="J588" s="133"/>
      <c r="M588" s="132"/>
      <c r="R588" s="132"/>
      <c r="W588" s="132"/>
      <c r="Z588" s="132"/>
      <c r="AA588" s="134"/>
      <c r="AB588" s="135"/>
      <c r="AF588" s="132"/>
      <c r="AG588" s="134"/>
    </row>
    <row r="589">
      <c r="A589" s="2"/>
      <c r="B589" s="91"/>
      <c r="C589" s="2"/>
      <c r="H589" s="132"/>
      <c r="J589" s="133"/>
      <c r="M589" s="132"/>
      <c r="R589" s="132"/>
      <c r="W589" s="132"/>
      <c r="Z589" s="132"/>
      <c r="AA589" s="134"/>
      <c r="AB589" s="135"/>
      <c r="AF589" s="132"/>
      <c r="AG589" s="134"/>
    </row>
    <row r="590">
      <c r="A590" s="2"/>
      <c r="B590" s="91"/>
      <c r="C590" s="2"/>
      <c r="H590" s="132"/>
      <c r="J590" s="133"/>
      <c r="M590" s="132"/>
      <c r="R590" s="132"/>
      <c r="W590" s="132"/>
      <c r="Z590" s="132"/>
      <c r="AA590" s="134"/>
      <c r="AB590" s="135"/>
      <c r="AF590" s="132"/>
      <c r="AG590" s="134"/>
    </row>
    <row r="591">
      <c r="A591" s="2"/>
      <c r="B591" s="91"/>
      <c r="C591" s="2"/>
      <c r="H591" s="132"/>
      <c r="J591" s="133"/>
      <c r="M591" s="132"/>
      <c r="R591" s="132"/>
      <c r="W591" s="132"/>
      <c r="Z591" s="132"/>
      <c r="AA591" s="134"/>
      <c r="AB591" s="135"/>
      <c r="AF591" s="132"/>
      <c r="AG591" s="134"/>
    </row>
    <row r="592">
      <c r="A592" s="2"/>
      <c r="B592" s="91"/>
      <c r="C592" s="2"/>
      <c r="H592" s="132"/>
      <c r="J592" s="133"/>
      <c r="M592" s="132"/>
      <c r="R592" s="132"/>
      <c r="W592" s="132"/>
      <c r="Z592" s="132"/>
      <c r="AA592" s="134"/>
      <c r="AB592" s="135"/>
      <c r="AF592" s="132"/>
      <c r="AG592" s="134"/>
    </row>
    <row r="593">
      <c r="A593" s="2"/>
      <c r="B593" s="91"/>
      <c r="C593" s="2"/>
      <c r="H593" s="132"/>
      <c r="J593" s="133"/>
      <c r="M593" s="132"/>
      <c r="R593" s="132"/>
      <c r="W593" s="132"/>
      <c r="Z593" s="132"/>
      <c r="AA593" s="134"/>
      <c r="AB593" s="135"/>
      <c r="AF593" s="132"/>
      <c r="AG593" s="134"/>
    </row>
    <row r="594">
      <c r="A594" s="2"/>
      <c r="B594" s="91"/>
      <c r="C594" s="2"/>
      <c r="H594" s="132"/>
      <c r="J594" s="133"/>
      <c r="M594" s="132"/>
      <c r="R594" s="132"/>
      <c r="W594" s="132"/>
      <c r="Z594" s="132"/>
      <c r="AA594" s="134"/>
      <c r="AB594" s="135"/>
      <c r="AF594" s="132"/>
      <c r="AG594" s="134"/>
    </row>
    <row r="595">
      <c r="A595" s="2"/>
      <c r="B595" s="91"/>
      <c r="C595" s="2"/>
      <c r="H595" s="132"/>
      <c r="J595" s="133"/>
      <c r="M595" s="132"/>
      <c r="R595" s="132"/>
      <c r="W595" s="132"/>
      <c r="Z595" s="132"/>
      <c r="AA595" s="134"/>
      <c r="AB595" s="135"/>
      <c r="AF595" s="132"/>
      <c r="AG595" s="134"/>
    </row>
    <row r="596">
      <c r="A596" s="2"/>
      <c r="B596" s="91"/>
      <c r="C596" s="2"/>
      <c r="H596" s="132"/>
      <c r="J596" s="133"/>
      <c r="M596" s="132"/>
      <c r="R596" s="132"/>
      <c r="W596" s="132"/>
      <c r="Z596" s="132"/>
      <c r="AA596" s="134"/>
      <c r="AB596" s="135"/>
      <c r="AF596" s="132"/>
      <c r="AG596" s="134"/>
    </row>
    <row r="597">
      <c r="A597" s="2"/>
      <c r="B597" s="91"/>
      <c r="C597" s="2"/>
      <c r="H597" s="132"/>
      <c r="J597" s="133"/>
      <c r="M597" s="132"/>
      <c r="R597" s="132"/>
      <c r="W597" s="132"/>
      <c r="Z597" s="132"/>
      <c r="AA597" s="134"/>
      <c r="AB597" s="135"/>
      <c r="AF597" s="132"/>
      <c r="AG597" s="134"/>
    </row>
    <row r="598">
      <c r="A598" s="2"/>
      <c r="B598" s="91"/>
      <c r="C598" s="2"/>
      <c r="H598" s="132"/>
      <c r="J598" s="133"/>
      <c r="M598" s="132"/>
      <c r="R598" s="132"/>
      <c r="W598" s="132"/>
      <c r="Z598" s="132"/>
      <c r="AA598" s="134"/>
      <c r="AB598" s="135"/>
      <c r="AF598" s="132"/>
      <c r="AG598" s="134"/>
    </row>
    <row r="599">
      <c r="A599" s="2"/>
      <c r="B599" s="91"/>
      <c r="C599" s="2"/>
      <c r="H599" s="132"/>
      <c r="J599" s="133"/>
      <c r="M599" s="132"/>
      <c r="R599" s="132"/>
      <c r="W599" s="132"/>
      <c r="Z599" s="132"/>
      <c r="AA599" s="134"/>
      <c r="AB599" s="135"/>
      <c r="AF599" s="132"/>
      <c r="AG599" s="134"/>
    </row>
    <row r="600">
      <c r="A600" s="2"/>
      <c r="B600" s="91"/>
      <c r="C600" s="2"/>
      <c r="H600" s="132"/>
      <c r="J600" s="133"/>
      <c r="M600" s="132"/>
      <c r="R600" s="132"/>
      <c r="W600" s="132"/>
      <c r="Z600" s="132"/>
      <c r="AA600" s="134"/>
      <c r="AB600" s="135"/>
      <c r="AF600" s="132"/>
      <c r="AG600" s="134"/>
    </row>
    <row r="601">
      <c r="A601" s="2"/>
      <c r="B601" s="91"/>
      <c r="C601" s="2"/>
      <c r="H601" s="132"/>
      <c r="J601" s="133"/>
      <c r="M601" s="132"/>
      <c r="R601" s="132"/>
      <c r="W601" s="132"/>
      <c r="Z601" s="132"/>
      <c r="AA601" s="134"/>
      <c r="AB601" s="135"/>
      <c r="AF601" s="132"/>
      <c r="AG601" s="134"/>
    </row>
    <row r="602">
      <c r="A602" s="2"/>
      <c r="B602" s="91"/>
      <c r="C602" s="2"/>
      <c r="H602" s="132"/>
      <c r="J602" s="133"/>
      <c r="M602" s="132"/>
      <c r="R602" s="132"/>
      <c r="W602" s="132"/>
      <c r="Z602" s="132"/>
      <c r="AA602" s="134"/>
      <c r="AB602" s="135"/>
      <c r="AF602" s="132"/>
      <c r="AG602" s="134"/>
    </row>
    <row r="603">
      <c r="A603" s="2"/>
      <c r="B603" s="91"/>
      <c r="C603" s="2"/>
      <c r="H603" s="132"/>
      <c r="J603" s="133"/>
      <c r="M603" s="132"/>
      <c r="R603" s="132"/>
      <c r="W603" s="132"/>
      <c r="Z603" s="132"/>
      <c r="AA603" s="134"/>
      <c r="AB603" s="135"/>
      <c r="AF603" s="132"/>
      <c r="AG603" s="134"/>
    </row>
    <row r="604">
      <c r="A604" s="2"/>
      <c r="B604" s="91"/>
      <c r="C604" s="2"/>
      <c r="H604" s="132"/>
      <c r="J604" s="133"/>
      <c r="M604" s="132"/>
      <c r="R604" s="132"/>
      <c r="W604" s="132"/>
      <c r="Z604" s="132"/>
      <c r="AA604" s="134"/>
      <c r="AB604" s="135"/>
      <c r="AF604" s="132"/>
      <c r="AG604" s="134"/>
    </row>
    <row r="605">
      <c r="A605" s="2"/>
      <c r="B605" s="91"/>
      <c r="C605" s="2"/>
      <c r="H605" s="132"/>
      <c r="J605" s="133"/>
      <c r="M605" s="132"/>
      <c r="R605" s="132"/>
      <c r="W605" s="132"/>
      <c r="Z605" s="132"/>
      <c r="AA605" s="134"/>
      <c r="AB605" s="135"/>
      <c r="AF605" s="132"/>
      <c r="AG605" s="134"/>
    </row>
    <row r="606">
      <c r="A606" s="2"/>
      <c r="B606" s="91"/>
      <c r="C606" s="2"/>
      <c r="H606" s="132"/>
      <c r="J606" s="133"/>
      <c r="M606" s="132"/>
      <c r="R606" s="132"/>
      <c r="W606" s="132"/>
      <c r="Z606" s="132"/>
      <c r="AA606" s="134"/>
      <c r="AB606" s="135"/>
      <c r="AF606" s="132"/>
      <c r="AG606" s="134"/>
    </row>
    <row r="607">
      <c r="A607" s="2"/>
      <c r="B607" s="91"/>
      <c r="C607" s="2"/>
      <c r="H607" s="132"/>
      <c r="J607" s="133"/>
      <c r="M607" s="132"/>
      <c r="R607" s="132"/>
      <c r="W607" s="132"/>
      <c r="Z607" s="132"/>
      <c r="AA607" s="134"/>
      <c r="AB607" s="135"/>
      <c r="AF607" s="132"/>
      <c r="AG607" s="134"/>
    </row>
    <row r="608">
      <c r="A608" s="2"/>
      <c r="B608" s="91"/>
      <c r="C608" s="2"/>
      <c r="H608" s="132"/>
      <c r="J608" s="133"/>
      <c r="M608" s="132"/>
      <c r="R608" s="132"/>
      <c r="W608" s="132"/>
      <c r="Z608" s="132"/>
      <c r="AA608" s="134"/>
      <c r="AB608" s="135"/>
      <c r="AF608" s="132"/>
      <c r="AG608" s="134"/>
    </row>
    <row r="609">
      <c r="A609" s="2"/>
      <c r="B609" s="91"/>
      <c r="C609" s="2"/>
      <c r="H609" s="132"/>
      <c r="J609" s="133"/>
      <c r="M609" s="132"/>
      <c r="R609" s="132"/>
      <c r="W609" s="132"/>
      <c r="Z609" s="132"/>
      <c r="AA609" s="134"/>
      <c r="AB609" s="135"/>
      <c r="AF609" s="132"/>
      <c r="AG609" s="134"/>
    </row>
    <row r="610">
      <c r="A610" s="2"/>
      <c r="B610" s="91"/>
      <c r="C610" s="2"/>
      <c r="H610" s="132"/>
      <c r="J610" s="133"/>
      <c r="M610" s="132"/>
      <c r="R610" s="132"/>
      <c r="W610" s="132"/>
      <c r="Z610" s="132"/>
      <c r="AA610" s="134"/>
      <c r="AB610" s="135"/>
      <c r="AF610" s="132"/>
      <c r="AG610" s="134"/>
    </row>
    <row r="611">
      <c r="A611" s="2"/>
      <c r="B611" s="91"/>
      <c r="C611" s="2"/>
      <c r="H611" s="132"/>
      <c r="J611" s="133"/>
      <c r="M611" s="132"/>
      <c r="R611" s="132"/>
      <c r="W611" s="132"/>
      <c r="Z611" s="132"/>
      <c r="AA611" s="134"/>
      <c r="AB611" s="135"/>
      <c r="AF611" s="132"/>
      <c r="AG611" s="134"/>
    </row>
    <row r="612">
      <c r="A612" s="2"/>
      <c r="B612" s="91"/>
      <c r="C612" s="2"/>
      <c r="H612" s="132"/>
      <c r="J612" s="133"/>
      <c r="M612" s="132"/>
      <c r="R612" s="132"/>
      <c r="W612" s="132"/>
      <c r="Z612" s="132"/>
      <c r="AA612" s="134"/>
      <c r="AB612" s="135"/>
      <c r="AF612" s="132"/>
      <c r="AG612" s="134"/>
    </row>
    <row r="613">
      <c r="A613" s="2"/>
      <c r="B613" s="91"/>
      <c r="C613" s="2"/>
      <c r="H613" s="132"/>
      <c r="J613" s="133"/>
      <c r="M613" s="132"/>
      <c r="R613" s="132"/>
      <c r="W613" s="132"/>
      <c r="Z613" s="132"/>
      <c r="AA613" s="134"/>
      <c r="AB613" s="135"/>
      <c r="AF613" s="132"/>
      <c r="AG613" s="134"/>
    </row>
    <row r="614">
      <c r="A614" s="2"/>
      <c r="B614" s="91"/>
      <c r="C614" s="2"/>
      <c r="H614" s="132"/>
      <c r="J614" s="133"/>
      <c r="M614" s="132"/>
      <c r="R614" s="132"/>
      <c r="W614" s="132"/>
      <c r="Z614" s="132"/>
      <c r="AA614" s="134"/>
      <c r="AB614" s="135"/>
      <c r="AF614" s="132"/>
      <c r="AG614" s="134"/>
    </row>
    <row r="615">
      <c r="A615" s="2"/>
      <c r="B615" s="91"/>
      <c r="C615" s="2"/>
      <c r="H615" s="132"/>
      <c r="J615" s="133"/>
      <c r="M615" s="132"/>
      <c r="R615" s="132"/>
      <c r="W615" s="132"/>
      <c r="Z615" s="132"/>
      <c r="AA615" s="134"/>
      <c r="AB615" s="135"/>
      <c r="AF615" s="132"/>
      <c r="AG615" s="134"/>
    </row>
    <row r="616">
      <c r="A616" s="2"/>
      <c r="B616" s="91"/>
      <c r="C616" s="2"/>
      <c r="H616" s="132"/>
      <c r="J616" s="133"/>
      <c r="M616" s="132"/>
      <c r="R616" s="132"/>
      <c r="W616" s="132"/>
      <c r="Z616" s="132"/>
      <c r="AA616" s="134"/>
      <c r="AB616" s="135"/>
      <c r="AF616" s="132"/>
      <c r="AG616" s="134"/>
    </row>
    <row r="617">
      <c r="A617" s="2"/>
      <c r="B617" s="91"/>
      <c r="C617" s="2"/>
      <c r="H617" s="132"/>
      <c r="J617" s="133"/>
      <c r="M617" s="132"/>
      <c r="R617" s="132"/>
      <c r="W617" s="132"/>
      <c r="Z617" s="132"/>
      <c r="AA617" s="134"/>
      <c r="AB617" s="135"/>
      <c r="AF617" s="132"/>
      <c r="AG617" s="134"/>
    </row>
    <row r="618">
      <c r="A618" s="2"/>
      <c r="B618" s="91"/>
      <c r="C618" s="2"/>
      <c r="H618" s="132"/>
      <c r="J618" s="133"/>
      <c r="M618" s="132"/>
      <c r="R618" s="132"/>
      <c r="W618" s="132"/>
      <c r="Z618" s="132"/>
      <c r="AA618" s="134"/>
      <c r="AB618" s="135"/>
      <c r="AF618" s="132"/>
      <c r="AG618" s="134"/>
    </row>
    <row r="619">
      <c r="A619" s="2"/>
      <c r="B619" s="91"/>
      <c r="C619" s="2"/>
      <c r="H619" s="132"/>
      <c r="J619" s="133"/>
      <c r="M619" s="132"/>
      <c r="R619" s="132"/>
      <c r="W619" s="132"/>
      <c r="Z619" s="132"/>
      <c r="AA619" s="134"/>
      <c r="AB619" s="135"/>
      <c r="AF619" s="132"/>
      <c r="AG619" s="134"/>
    </row>
    <row r="620">
      <c r="A620" s="2"/>
      <c r="B620" s="91"/>
      <c r="C620" s="2"/>
      <c r="H620" s="132"/>
      <c r="J620" s="133"/>
      <c r="M620" s="132"/>
      <c r="R620" s="132"/>
      <c r="W620" s="132"/>
      <c r="Z620" s="132"/>
      <c r="AA620" s="134"/>
      <c r="AB620" s="135"/>
      <c r="AF620" s="132"/>
      <c r="AG620" s="134"/>
    </row>
    <row r="621">
      <c r="A621" s="2"/>
      <c r="B621" s="91"/>
      <c r="C621" s="2"/>
      <c r="H621" s="132"/>
      <c r="J621" s="133"/>
      <c r="M621" s="132"/>
      <c r="R621" s="132"/>
      <c r="W621" s="132"/>
      <c r="Z621" s="132"/>
      <c r="AA621" s="134"/>
      <c r="AB621" s="135"/>
      <c r="AF621" s="132"/>
      <c r="AG621" s="134"/>
    </row>
    <row r="622">
      <c r="A622" s="2"/>
      <c r="B622" s="91"/>
      <c r="C622" s="2"/>
      <c r="H622" s="132"/>
      <c r="J622" s="133"/>
      <c r="M622" s="132"/>
      <c r="R622" s="132"/>
      <c r="W622" s="132"/>
      <c r="Z622" s="132"/>
      <c r="AA622" s="134"/>
      <c r="AB622" s="135"/>
      <c r="AF622" s="132"/>
      <c r="AG622" s="134"/>
    </row>
    <row r="623">
      <c r="A623" s="2"/>
      <c r="B623" s="91"/>
      <c r="C623" s="2"/>
      <c r="H623" s="132"/>
      <c r="J623" s="133"/>
      <c r="M623" s="132"/>
      <c r="R623" s="132"/>
      <c r="W623" s="132"/>
      <c r="Z623" s="132"/>
      <c r="AA623" s="134"/>
      <c r="AB623" s="135"/>
      <c r="AF623" s="132"/>
      <c r="AG623" s="134"/>
    </row>
    <row r="624">
      <c r="A624" s="2"/>
      <c r="B624" s="91"/>
      <c r="C624" s="2"/>
      <c r="H624" s="132"/>
      <c r="J624" s="133"/>
      <c r="M624" s="132"/>
      <c r="R624" s="132"/>
      <c r="W624" s="132"/>
      <c r="Z624" s="132"/>
      <c r="AA624" s="134"/>
      <c r="AB624" s="135"/>
      <c r="AF624" s="132"/>
      <c r="AG624" s="134"/>
    </row>
    <row r="625">
      <c r="A625" s="2"/>
      <c r="B625" s="91"/>
      <c r="C625" s="2"/>
      <c r="H625" s="132"/>
      <c r="J625" s="133"/>
      <c r="M625" s="132"/>
      <c r="R625" s="132"/>
      <c r="W625" s="132"/>
      <c r="Z625" s="132"/>
      <c r="AA625" s="134"/>
      <c r="AB625" s="135"/>
      <c r="AF625" s="132"/>
      <c r="AG625" s="134"/>
    </row>
    <row r="626">
      <c r="A626" s="2"/>
      <c r="B626" s="91"/>
      <c r="C626" s="2"/>
      <c r="H626" s="132"/>
      <c r="J626" s="133"/>
      <c r="M626" s="132"/>
      <c r="R626" s="132"/>
      <c r="W626" s="132"/>
      <c r="Z626" s="132"/>
      <c r="AA626" s="134"/>
      <c r="AB626" s="135"/>
      <c r="AF626" s="132"/>
      <c r="AG626" s="134"/>
    </row>
    <row r="627">
      <c r="A627" s="2"/>
      <c r="B627" s="91"/>
      <c r="C627" s="2"/>
      <c r="H627" s="132"/>
      <c r="J627" s="133"/>
      <c r="M627" s="132"/>
      <c r="R627" s="132"/>
      <c r="W627" s="132"/>
      <c r="Z627" s="132"/>
      <c r="AA627" s="134"/>
      <c r="AB627" s="135"/>
      <c r="AF627" s="132"/>
      <c r="AG627" s="134"/>
    </row>
    <row r="628">
      <c r="A628" s="2"/>
      <c r="B628" s="91"/>
      <c r="C628" s="2"/>
      <c r="H628" s="132"/>
      <c r="J628" s="133"/>
      <c r="M628" s="132"/>
      <c r="R628" s="132"/>
      <c r="W628" s="132"/>
      <c r="Z628" s="132"/>
      <c r="AA628" s="134"/>
      <c r="AB628" s="135"/>
      <c r="AF628" s="132"/>
      <c r="AG628" s="134"/>
    </row>
    <row r="629">
      <c r="A629" s="2"/>
      <c r="B629" s="91"/>
      <c r="C629" s="2"/>
      <c r="H629" s="132"/>
      <c r="J629" s="133"/>
      <c r="M629" s="132"/>
      <c r="R629" s="132"/>
      <c r="W629" s="132"/>
      <c r="Z629" s="132"/>
      <c r="AA629" s="134"/>
      <c r="AB629" s="135"/>
      <c r="AF629" s="132"/>
      <c r="AG629" s="134"/>
    </row>
    <row r="630">
      <c r="A630" s="2"/>
      <c r="B630" s="91"/>
      <c r="C630" s="2"/>
      <c r="H630" s="132"/>
      <c r="J630" s="133"/>
      <c r="M630" s="132"/>
      <c r="R630" s="132"/>
      <c r="W630" s="132"/>
      <c r="Z630" s="132"/>
      <c r="AA630" s="134"/>
      <c r="AB630" s="135"/>
      <c r="AF630" s="132"/>
      <c r="AG630" s="134"/>
    </row>
    <row r="631">
      <c r="A631" s="2"/>
      <c r="B631" s="91"/>
      <c r="C631" s="2"/>
      <c r="H631" s="132"/>
      <c r="J631" s="133"/>
      <c r="M631" s="132"/>
      <c r="R631" s="132"/>
      <c r="W631" s="132"/>
      <c r="Z631" s="132"/>
      <c r="AA631" s="134"/>
      <c r="AB631" s="135"/>
      <c r="AF631" s="132"/>
      <c r="AG631" s="134"/>
    </row>
    <row r="632">
      <c r="A632" s="2"/>
      <c r="B632" s="91"/>
      <c r="C632" s="2"/>
      <c r="H632" s="132"/>
      <c r="J632" s="133"/>
      <c r="M632" s="132"/>
      <c r="R632" s="132"/>
      <c r="W632" s="132"/>
      <c r="Z632" s="132"/>
      <c r="AA632" s="134"/>
      <c r="AB632" s="135"/>
      <c r="AF632" s="132"/>
      <c r="AG632" s="134"/>
    </row>
    <row r="633">
      <c r="A633" s="2"/>
      <c r="B633" s="91"/>
      <c r="C633" s="2"/>
      <c r="H633" s="132"/>
      <c r="J633" s="133"/>
      <c r="M633" s="132"/>
      <c r="R633" s="132"/>
      <c r="W633" s="132"/>
      <c r="Z633" s="132"/>
      <c r="AA633" s="134"/>
      <c r="AB633" s="135"/>
      <c r="AF633" s="132"/>
      <c r="AG633" s="134"/>
    </row>
    <row r="634">
      <c r="A634" s="2"/>
      <c r="B634" s="91"/>
      <c r="C634" s="2"/>
      <c r="H634" s="132"/>
      <c r="J634" s="133"/>
      <c r="M634" s="132"/>
      <c r="R634" s="132"/>
      <c r="W634" s="132"/>
      <c r="Z634" s="132"/>
      <c r="AA634" s="134"/>
      <c r="AB634" s="135"/>
      <c r="AF634" s="132"/>
      <c r="AG634" s="134"/>
    </row>
    <row r="635">
      <c r="A635" s="2"/>
      <c r="B635" s="91"/>
      <c r="C635" s="2"/>
      <c r="H635" s="132"/>
      <c r="J635" s="133"/>
      <c r="M635" s="132"/>
      <c r="R635" s="132"/>
      <c r="W635" s="132"/>
      <c r="Z635" s="132"/>
      <c r="AA635" s="134"/>
      <c r="AB635" s="135"/>
      <c r="AF635" s="132"/>
      <c r="AG635" s="134"/>
    </row>
    <row r="636">
      <c r="A636" s="2"/>
      <c r="B636" s="91"/>
      <c r="C636" s="2"/>
      <c r="H636" s="132"/>
      <c r="J636" s="133"/>
      <c r="M636" s="132"/>
      <c r="R636" s="132"/>
      <c r="W636" s="132"/>
      <c r="Z636" s="132"/>
      <c r="AA636" s="134"/>
      <c r="AB636" s="135"/>
      <c r="AF636" s="132"/>
      <c r="AG636" s="134"/>
    </row>
    <row r="637">
      <c r="A637" s="2"/>
      <c r="B637" s="91"/>
      <c r="C637" s="2"/>
      <c r="H637" s="132"/>
      <c r="J637" s="133"/>
      <c r="M637" s="132"/>
      <c r="R637" s="132"/>
      <c r="W637" s="132"/>
      <c r="Z637" s="132"/>
      <c r="AA637" s="134"/>
      <c r="AB637" s="135"/>
      <c r="AF637" s="132"/>
      <c r="AG637" s="134"/>
    </row>
    <row r="638">
      <c r="A638" s="2"/>
      <c r="B638" s="91"/>
      <c r="C638" s="2"/>
      <c r="H638" s="132"/>
      <c r="J638" s="133"/>
      <c r="M638" s="132"/>
      <c r="R638" s="132"/>
      <c r="W638" s="132"/>
      <c r="Z638" s="132"/>
      <c r="AA638" s="134"/>
      <c r="AB638" s="135"/>
      <c r="AF638" s="132"/>
      <c r="AG638" s="134"/>
    </row>
    <row r="639">
      <c r="A639" s="2"/>
      <c r="B639" s="91"/>
      <c r="C639" s="2"/>
      <c r="H639" s="132"/>
      <c r="J639" s="133"/>
      <c r="M639" s="132"/>
      <c r="R639" s="132"/>
      <c r="W639" s="132"/>
      <c r="Z639" s="132"/>
      <c r="AA639" s="134"/>
      <c r="AB639" s="135"/>
      <c r="AF639" s="132"/>
      <c r="AG639" s="134"/>
    </row>
    <row r="640">
      <c r="A640" s="2"/>
      <c r="B640" s="91"/>
      <c r="C640" s="2"/>
      <c r="H640" s="132"/>
      <c r="J640" s="133"/>
      <c r="M640" s="132"/>
      <c r="R640" s="132"/>
      <c r="W640" s="132"/>
      <c r="Z640" s="132"/>
      <c r="AA640" s="134"/>
      <c r="AB640" s="135"/>
      <c r="AF640" s="132"/>
      <c r="AG640" s="134"/>
    </row>
    <row r="641">
      <c r="A641" s="2"/>
      <c r="B641" s="91"/>
      <c r="C641" s="2"/>
      <c r="H641" s="132"/>
      <c r="J641" s="133"/>
      <c r="M641" s="132"/>
      <c r="R641" s="132"/>
      <c r="W641" s="132"/>
      <c r="Z641" s="132"/>
      <c r="AA641" s="134"/>
      <c r="AB641" s="135"/>
      <c r="AF641" s="132"/>
      <c r="AG641" s="134"/>
    </row>
    <row r="642">
      <c r="A642" s="2"/>
      <c r="B642" s="91"/>
      <c r="C642" s="2"/>
      <c r="H642" s="132"/>
      <c r="J642" s="133"/>
      <c r="M642" s="132"/>
      <c r="R642" s="132"/>
      <c r="W642" s="132"/>
      <c r="Z642" s="132"/>
      <c r="AA642" s="134"/>
      <c r="AB642" s="135"/>
      <c r="AF642" s="132"/>
      <c r="AG642" s="134"/>
    </row>
    <row r="643">
      <c r="A643" s="2"/>
      <c r="B643" s="91"/>
      <c r="C643" s="2"/>
      <c r="H643" s="132"/>
      <c r="J643" s="133"/>
      <c r="M643" s="132"/>
      <c r="R643" s="132"/>
      <c r="W643" s="132"/>
      <c r="Z643" s="132"/>
      <c r="AA643" s="134"/>
      <c r="AB643" s="135"/>
      <c r="AF643" s="132"/>
      <c r="AG643" s="134"/>
    </row>
    <row r="644">
      <c r="A644" s="2"/>
      <c r="B644" s="91"/>
      <c r="C644" s="2"/>
      <c r="H644" s="132"/>
      <c r="J644" s="133"/>
      <c r="M644" s="132"/>
      <c r="R644" s="132"/>
      <c r="W644" s="132"/>
      <c r="Z644" s="132"/>
      <c r="AA644" s="134"/>
      <c r="AB644" s="135"/>
      <c r="AF644" s="132"/>
      <c r="AG644" s="134"/>
    </row>
    <row r="645">
      <c r="A645" s="2"/>
      <c r="B645" s="91"/>
      <c r="C645" s="2"/>
      <c r="H645" s="132"/>
      <c r="J645" s="133"/>
      <c r="M645" s="132"/>
      <c r="R645" s="132"/>
      <c r="W645" s="132"/>
      <c r="Z645" s="132"/>
      <c r="AA645" s="134"/>
      <c r="AB645" s="135"/>
      <c r="AF645" s="132"/>
      <c r="AG645" s="134"/>
    </row>
    <row r="646">
      <c r="A646" s="2"/>
      <c r="B646" s="91"/>
      <c r="C646" s="2"/>
      <c r="H646" s="132"/>
      <c r="J646" s="133"/>
      <c r="M646" s="132"/>
      <c r="R646" s="132"/>
      <c r="W646" s="132"/>
      <c r="Z646" s="132"/>
      <c r="AA646" s="134"/>
      <c r="AB646" s="135"/>
      <c r="AF646" s="132"/>
      <c r="AG646" s="134"/>
    </row>
    <row r="647">
      <c r="A647" s="2"/>
      <c r="B647" s="91"/>
      <c r="C647" s="2"/>
      <c r="H647" s="132"/>
      <c r="J647" s="133"/>
      <c r="M647" s="132"/>
      <c r="R647" s="132"/>
      <c r="W647" s="132"/>
      <c r="Z647" s="132"/>
      <c r="AA647" s="134"/>
      <c r="AB647" s="135"/>
      <c r="AF647" s="132"/>
      <c r="AG647" s="134"/>
    </row>
    <row r="648">
      <c r="A648" s="2"/>
      <c r="B648" s="91"/>
      <c r="C648" s="2"/>
      <c r="H648" s="132"/>
      <c r="J648" s="133"/>
      <c r="M648" s="132"/>
      <c r="R648" s="132"/>
      <c r="W648" s="132"/>
      <c r="Z648" s="132"/>
      <c r="AA648" s="134"/>
      <c r="AB648" s="135"/>
      <c r="AF648" s="132"/>
      <c r="AG648" s="134"/>
    </row>
    <row r="649">
      <c r="A649" s="2"/>
      <c r="B649" s="91"/>
      <c r="C649" s="2"/>
      <c r="H649" s="132"/>
      <c r="J649" s="133"/>
      <c r="M649" s="132"/>
      <c r="R649" s="132"/>
      <c r="W649" s="132"/>
      <c r="Z649" s="132"/>
      <c r="AA649" s="134"/>
      <c r="AB649" s="135"/>
      <c r="AF649" s="132"/>
      <c r="AG649" s="134"/>
    </row>
    <row r="650">
      <c r="A650" s="2"/>
      <c r="B650" s="91"/>
      <c r="C650" s="2"/>
      <c r="H650" s="132"/>
      <c r="J650" s="133"/>
      <c r="M650" s="132"/>
      <c r="R650" s="132"/>
      <c r="W650" s="132"/>
      <c r="Z650" s="132"/>
      <c r="AA650" s="134"/>
      <c r="AB650" s="135"/>
      <c r="AF650" s="132"/>
      <c r="AG650" s="134"/>
    </row>
    <row r="651">
      <c r="A651" s="2"/>
      <c r="B651" s="91"/>
      <c r="C651" s="2"/>
      <c r="H651" s="132"/>
      <c r="J651" s="133"/>
      <c r="M651" s="132"/>
      <c r="R651" s="132"/>
      <c r="W651" s="132"/>
      <c r="Z651" s="132"/>
      <c r="AA651" s="134"/>
      <c r="AB651" s="135"/>
      <c r="AF651" s="132"/>
      <c r="AG651" s="134"/>
    </row>
    <row r="652">
      <c r="A652" s="2"/>
      <c r="B652" s="91"/>
      <c r="C652" s="2"/>
      <c r="H652" s="132"/>
      <c r="J652" s="133"/>
      <c r="M652" s="132"/>
      <c r="R652" s="132"/>
      <c r="W652" s="132"/>
      <c r="Z652" s="132"/>
      <c r="AA652" s="134"/>
      <c r="AB652" s="135"/>
      <c r="AF652" s="132"/>
      <c r="AG652" s="134"/>
    </row>
    <row r="653">
      <c r="A653" s="2"/>
      <c r="B653" s="91"/>
      <c r="C653" s="2"/>
      <c r="H653" s="132"/>
      <c r="J653" s="133"/>
      <c r="M653" s="132"/>
      <c r="R653" s="132"/>
      <c r="W653" s="132"/>
      <c r="Z653" s="132"/>
      <c r="AA653" s="134"/>
      <c r="AB653" s="135"/>
      <c r="AF653" s="132"/>
      <c r="AG653" s="134"/>
    </row>
    <row r="654">
      <c r="A654" s="2"/>
      <c r="B654" s="91"/>
      <c r="C654" s="2"/>
      <c r="H654" s="132"/>
      <c r="J654" s="133"/>
      <c r="M654" s="132"/>
      <c r="R654" s="132"/>
      <c r="W654" s="132"/>
      <c r="Z654" s="132"/>
      <c r="AA654" s="134"/>
      <c r="AB654" s="135"/>
      <c r="AF654" s="132"/>
      <c r="AG654" s="134"/>
    </row>
    <row r="655">
      <c r="A655" s="2"/>
      <c r="B655" s="91"/>
      <c r="C655" s="2"/>
      <c r="H655" s="132"/>
      <c r="J655" s="133"/>
      <c r="M655" s="132"/>
      <c r="R655" s="132"/>
      <c r="W655" s="132"/>
      <c r="Z655" s="132"/>
      <c r="AA655" s="134"/>
      <c r="AB655" s="135"/>
      <c r="AF655" s="132"/>
      <c r="AG655" s="134"/>
    </row>
    <row r="656">
      <c r="A656" s="2"/>
      <c r="B656" s="91"/>
      <c r="C656" s="2"/>
      <c r="H656" s="132"/>
      <c r="J656" s="133"/>
      <c r="M656" s="132"/>
      <c r="R656" s="132"/>
      <c r="W656" s="132"/>
      <c r="Z656" s="132"/>
      <c r="AA656" s="134"/>
      <c r="AB656" s="135"/>
      <c r="AF656" s="132"/>
      <c r="AG656" s="134"/>
    </row>
    <row r="657">
      <c r="A657" s="2"/>
      <c r="B657" s="91"/>
      <c r="C657" s="2"/>
      <c r="H657" s="132"/>
      <c r="J657" s="133"/>
      <c r="M657" s="132"/>
      <c r="R657" s="132"/>
      <c r="W657" s="132"/>
      <c r="Z657" s="132"/>
      <c r="AA657" s="134"/>
      <c r="AB657" s="135"/>
      <c r="AF657" s="132"/>
      <c r="AG657" s="134"/>
    </row>
    <row r="658">
      <c r="A658" s="2"/>
      <c r="B658" s="91"/>
      <c r="C658" s="2"/>
      <c r="H658" s="132"/>
      <c r="J658" s="133"/>
      <c r="M658" s="132"/>
      <c r="R658" s="132"/>
      <c r="W658" s="132"/>
      <c r="Z658" s="132"/>
      <c r="AA658" s="134"/>
      <c r="AB658" s="135"/>
      <c r="AF658" s="132"/>
      <c r="AG658" s="134"/>
    </row>
    <row r="659">
      <c r="A659" s="2"/>
      <c r="B659" s="91"/>
      <c r="C659" s="2"/>
      <c r="H659" s="132"/>
      <c r="J659" s="133"/>
      <c r="M659" s="132"/>
      <c r="R659" s="132"/>
      <c r="W659" s="132"/>
      <c r="Z659" s="132"/>
      <c r="AA659" s="134"/>
      <c r="AB659" s="135"/>
      <c r="AF659" s="132"/>
      <c r="AG659" s="134"/>
    </row>
    <row r="660">
      <c r="A660" s="2"/>
      <c r="B660" s="91"/>
      <c r="C660" s="2"/>
      <c r="H660" s="132"/>
      <c r="J660" s="133"/>
      <c r="M660" s="132"/>
      <c r="R660" s="132"/>
      <c r="W660" s="132"/>
      <c r="Z660" s="132"/>
      <c r="AA660" s="134"/>
      <c r="AB660" s="135"/>
      <c r="AF660" s="132"/>
      <c r="AG660" s="134"/>
    </row>
    <row r="661">
      <c r="A661" s="2"/>
      <c r="B661" s="91"/>
      <c r="C661" s="2"/>
      <c r="H661" s="132"/>
      <c r="J661" s="133"/>
      <c r="M661" s="132"/>
      <c r="R661" s="132"/>
      <c r="W661" s="132"/>
      <c r="Z661" s="132"/>
      <c r="AA661" s="134"/>
      <c r="AB661" s="135"/>
      <c r="AF661" s="132"/>
      <c r="AG661" s="134"/>
    </row>
    <row r="662">
      <c r="A662" s="2"/>
      <c r="B662" s="91"/>
      <c r="C662" s="2"/>
      <c r="H662" s="132"/>
      <c r="J662" s="133"/>
      <c r="M662" s="132"/>
      <c r="R662" s="132"/>
      <c r="W662" s="132"/>
      <c r="Z662" s="132"/>
      <c r="AA662" s="134"/>
      <c r="AB662" s="135"/>
      <c r="AF662" s="132"/>
      <c r="AG662" s="134"/>
    </row>
    <row r="663">
      <c r="A663" s="2"/>
      <c r="B663" s="91"/>
      <c r="C663" s="2"/>
      <c r="H663" s="132"/>
      <c r="J663" s="133"/>
      <c r="M663" s="132"/>
      <c r="R663" s="132"/>
      <c r="W663" s="132"/>
      <c r="Z663" s="132"/>
      <c r="AA663" s="134"/>
      <c r="AB663" s="135"/>
      <c r="AF663" s="132"/>
      <c r="AG663" s="134"/>
    </row>
    <row r="664">
      <c r="A664" s="2"/>
      <c r="B664" s="91"/>
      <c r="C664" s="2"/>
      <c r="H664" s="132"/>
      <c r="J664" s="133"/>
      <c r="M664" s="132"/>
      <c r="R664" s="132"/>
      <c r="W664" s="132"/>
      <c r="Z664" s="132"/>
      <c r="AA664" s="134"/>
      <c r="AB664" s="135"/>
      <c r="AF664" s="132"/>
      <c r="AG664" s="134"/>
    </row>
    <row r="665">
      <c r="A665" s="2"/>
      <c r="B665" s="91"/>
      <c r="C665" s="2"/>
      <c r="H665" s="132"/>
      <c r="J665" s="133"/>
      <c r="M665" s="132"/>
      <c r="R665" s="132"/>
      <c r="W665" s="132"/>
      <c r="Z665" s="132"/>
      <c r="AA665" s="134"/>
      <c r="AB665" s="135"/>
      <c r="AF665" s="132"/>
      <c r="AG665" s="134"/>
    </row>
    <row r="666">
      <c r="A666" s="2"/>
      <c r="B666" s="91"/>
      <c r="C666" s="2"/>
      <c r="H666" s="132"/>
      <c r="J666" s="133"/>
      <c r="M666" s="132"/>
      <c r="R666" s="132"/>
      <c r="W666" s="132"/>
      <c r="Z666" s="132"/>
      <c r="AA666" s="134"/>
      <c r="AB666" s="135"/>
      <c r="AF666" s="132"/>
      <c r="AG666" s="134"/>
    </row>
    <row r="667">
      <c r="A667" s="2"/>
      <c r="B667" s="91"/>
      <c r="C667" s="2"/>
      <c r="H667" s="132"/>
      <c r="J667" s="133"/>
      <c r="M667" s="132"/>
      <c r="R667" s="132"/>
      <c r="W667" s="132"/>
      <c r="Z667" s="132"/>
      <c r="AA667" s="134"/>
      <c r="AB667" s="135"/>
      <c r="AF667" s="132"/>
      <c r="AG667" s="134"/>
    </row>
    <row r="668">
      <c r="A668" s="2"/>
      <c r="B668" s="91"/>
      <c r="C668" s="2"/>
      <c r="H668" s="132"/>
      <c r="J668" s="133"/>
      <c r="M668" s="132"/>
      <c r="R668" s="132"/>
      <c r="W668" s="132"/>
      <c r="Z668" s="132"/>
      <c r="AA668" s="134"/>
      <c r="AB668" s="135"/>
      <c r="AF668" s="132"/>
      <c r="AG668" s="134"/>
    </row>
    <row r="669">
      <c r="A669" s="2"/>
      <c r="B669" s="91"/>
      <c r="C669" s="2"/>
      <c r="H669" s="132"/>
      <c r="J669" s="133"/>
      <c r="M669" s="132"/>
      <c r="R669" s="132"/>
      <c r="W669" s="132"/>
      <c r="Z669" s="132"/>
      <c r="AA669" s="134"/>
      <c r="AB669" s="135"/>
      <c r="AF669" s="132"/>
      <c r="AG669" s="134"/>
    </row>
    <row r="670">
      <c r="A670" s="2"/>
      <c r="B670" s="91"/>
      <c r="C670" s="2"/>
      <c r="H670" s="132"/>
      <c r="J670" s="133"/>
      <c r="M670" s="132"/>
      <c r="R670" s="132"/>
      <c r="W670" s="132"/>
      <c r="Z670" s="132"/>
      <c r="AA670" s="134"/>
      <c r="AB670" s="135"/>
      <c r="AF670" s="132"/>
      <c r="AG670" s="134"/>
    </row>
    <row r="671">
      <c r="A671" s="2"/>
      <c r="B671" s="91"/>
      <c r="C671" s="2"/>
      <c r="H671" s="132"/>
      <c r="J671" s="133"/>
      <c r="M671" s="132"/>
      <c r="R671" s="132"/>
      <c r="W671" s="132"/>
      <c r="Z671" s="132"/>
      <c r="AA671" s="134"/>
      <c r="AB671" s="135"/>
      <c r="AF671" s="132"/>
      <c r="AG671" s="134"/>
    </row>
    <row r="672">
      <c r="A672" s="2"/>
      <c r="B672" s="91"/>
      <c r="C672" s="2"/>
      <c r="H672" s="132"/>
      <c r="J672" s="133"/>
      <c r="M672" s="132"/>
      <c r="R672" s="132"/>
      <c r="W672" s="132"/>
      <c r="Z672" s="132"/>
      <c r="AA672" s="134"/>
      <c r="AB672" s="135"/>
      <c r="AF672" s="132"/>
      <c r="AG672" s="134"/>
    </row>
    <row r="673">
      <c r="A673" s="2"/>
      <c r="B673" s="91"/>
      <c r="C673" s="2"/>
      <c r="H673" s="132"/>
      <c r="J673" s="133"/>
      <c r="M673" s="132"/>
      <c r="R673" s="132"/>
      <c r="W673" s="132"/>
      <c r="Z673" s="132"/>
      <c r="AA673" s="134"/>
      <c r="AB673" s="135"/>
      <c r="AF673" s="132"/>
      <c r="AG673" s="134"/>
    </row>
    <row r="674">
      <c r="A674" s="2"/>
      <c r="B674" s="91"/>
      <c r="C674" s="2"/>
      <c r="H674" s="132"/>
      <c r="J674" s="133"/>
      <c r="M674" s="132"/>
      <c r="R674" s="132"/>
      <c r="W674" s="132"/>
      <c r="Z674" s="132"/>
      <c r="AA674" s="134"/>
      <c r="AB674" s="135"/>
      <c r="AF674" s="132"/>
      <c r="AG674" s="134"/>
    </row>
    <row r="675">
      <c r="A675" s="2"/>
      <c r="B675" s="91"/>
      <c r="C675" s="2"/>
      <c r="H675" s="132"/>
      <c r="J675" s="133"/>
      <c r="M675" s="132"/>
      <c r="R675" s="132"/>
      <c r="W675" s="132"/>
      <c r="Z675" s="132"/>
      <c r="AA675" s="134"/>
      <c r="AB675" s="135"/>
      <c r="AF675" s="132"/>
      <c r="AG675" s="134"/>
    </row>
    <row r="676">
      <c r="A676" s="2"/>
      <c r="B676" s="91"/>
      <c r="C676" s="2"/>
      <c r="H676" s="132"/>
      <c r="J676" s="133"/>
      <c r="M676" s="132"/>
      <c r="R676" s="132"/>
      <c r="W676" s="132"/>
      <c r="Z676" s="132"/>
      <c r="AA676" s="134"/>
      <c r="AB676" s="135"/>
      <c r="AF676" s="132"/>
      <c r="AG676" s="134"/>
    </row>
    <row r="677">
      <c r="A677" s="2"/>
      <c r="B677" s="91"/>
      <c r="C677" s="2"/>
      <c r="H677" s="132"/>
      <c r="J677" s="133"/>
      <c r="M677" s="132"/>
      <c r="R677" s="132"/>
      <c r="W677" s="132"/>
      <c r="Z677" s="132"/>
      <c r="AA677" s="134"/>
      <c r="AB677" s="135"/>
      <c r="AF677" s="132"/>
      <c r="AG677" s="134"/>
    </row>
    <row r="678">
      <c r="A678" s="2"/>
      <c r="B678" s="91"/>
      <c r="C678" s="2"/>
      <c r="H678" s="132"/>
      <c r="J678" s="133"/>
      <c r="M678" s="132"/>
      <c r="R678" s="132"/>
      <c r="W678" s="132"/>
      <c r="Z678" s="132"/>
      <c r="AA678" s="134"/>
      <c r="AB678" s="135"/>
      <c r="AF678" s="132"/>
      <c r="AG678" s="134"/>
    </row>
    <row r="679">
      <c r="A679" s="2"/>
      <c r="B679" s="91"/>
      <c r="C679" s="2"/>
      <c r="H679" s="132"/>
      <c r="J679" s="133"/>
      <c r="M679" s="132"/>
      <c r="R679" s="132"/>
      <c r="W679" s="132"/>
      <c r="Z679" s="132"/>
      <c r="AA679" s="134"/>
      <c r="AB679" s="135"/>
      <c r="AF679" s="132"/>
      <c r="AG679" s="134"/>
    </row>
    <row r="680">
      <c r="A680" s="2"/>
      <c r="B680" s="91"/>
      <c r="C680" s="2"/>
      <c r="H680" s="132"/>
      <c r="J680" s="133"/>
      <c r="M680" s="132"/>
      <c r="R680" s="132"/>
      <c r="W680" s="132"/>
      <c r="Z680" s="132"/>
      <c r="AA680" s="134"/>
      <c r="AB680" s="135"/>
      <c r="AF680" s="132"/>
      <c r="AG680" s="134"/>
    </row>
    <row r="681">
      <c r="A681" s="2"/>
      <c r="B681" s="91"/>
      <c r="C681" s="2"/>
      <c r="H681" s="132"/>
      <c r="J681" s="133"/>
      <c r="M681" s="132"/>
      <c r="R681" s="132"/>
      <c r="W681" s="132"/>
      <c r="Z681" s="132"/>
      <c r="AA681" s="134"/>
      <c r="AB681" s="135"/>
      <c r="AF681" s="132"/>
      <c r="AG681" s="134"/>
    </row>
    <row r="682">
      <c r="A682" s="2"/>
      <c r="B682" s="91"/>
      <c r="C682" s="2"/>
      <c r="H682" s="132"/>
      <c r="J682" s="133"/>
      <c r="M682" s="132"/>
      <c r="R682" s="132"/>
      <c r="W682" s="132"/>
      <c r="Z682" s="132"/>
      <c r="AA682" s="134"/>
      <c r="AB682" s="135"/>
      <c r="AF682" s="132"/>
      <c r="AG682" s="134"/>
    </row>
    <row r="683">
      <c r="A683" s="2"/>
      <c r="B683" s="91"/>
      <c r="C683" s="2"/>
      <c r="H683" s="132"/>
      <c r="J683" s="133"/>
      <c r="M683" s="132"/>
      <c r="R683" s="132"/>
      <c r="W683" s="132"/>
      <c r="Z683" s="132"/>
      <c r="AA683" s="134"/>
      <c r="AB683" s="135"/>
      <c r="AF683" s="132"/>
      <c r="AG683" s="134"/>
    </row>
    <row r="684">
      <c r="A684" s="2"/>
      <c r="B684" s="91"/>
      <c r="C684" s="2"/>
      <c r="H684" s="132"/>
      <c r="J684" s="133"/>
      <c r="M684" s="132"/>
      <c r="R684" s="132"/>
      <c r="W684" s="132"/>
      <c r="Z684" s="132"/>
      <c r="AA684" s="134"/>
      <c r="AB684" s="135"/>
      <c r="AF684" s="132"/>
      <c r="AG684" s="134"/>
    </row>
    <row r="685">
      <c r="A685" s="2"/>
      <c r="B685" s="91"/>
      <c r="C685" s="2"/>
      <c r="H685" s="132"/>
      <c r="J685" s="133"/>
      <c r="M685" s="132"/>
      <c r="R685" s="132"/>
      <c r="W685" s="132"/>
      <c r="Z685" s="132"/>
      <c r="AA685" s="134"/>
      <c r="AB685" s="135"/>
      <c r="AF685" s="132"/>
      <c r="AG685" s="134"/>
    </row>
    <row r="686">
      <c r="A686" s="2"/>
      <c r="B686" s="91"/>
      <c r="C686" s="2"/>
      <c r="H686" s="132"/>
      <c r="J686" s="133"/>
      <c r="M686" s="132"/>
      <c r="R686" s="132"/>
      <c r="W686" s="132"/>
      <c r="Z686" s="132"/>
      <c r="AA686" s="134"/>
      <c r="AB686" s="135"/>
      <c r="AF686" s="132"/>
      <c r="AG686" s="134"/>
    </row>
    <row r="687">
      <c r="A687" s="2"/>
      <c r="B687" s="91"/>
      <c r="C687" s="2"/>
      <c r="H687" s="132"/>
      <c r="J687" s="133"/>
      <c r="M687" s="132"/>
      <c r="R687" s="132"/>
      <c r="W687" s="132"/>
      <c r="Z687" s="132"/>
      <c r="AA687" s="134"/>
      <c r="AB687" s="135"/>
      <c r="AF687" s="132"/>
      <c r="AG687" s="134"/>
    </row>
    <row r="688">
      <c r="A688" s="2"/>
      <c r="B688" s="91"/>
      <c r="C688" s="2"/>
      <c r="H688" s="132"/>
      <c r="J688" s="133"/>
      <c r="M688" s="132"/>
      <c r="R688" s="132"/>
      <c r="W688" s="132"/>
      <c r="Z688" s="132"/>
      <c r="AA688" s="134"/>
      <c r="AB688" s="135"/>
      <c r="AF688" s="132"/>
      <c r="AG688" s="134"/>
    </row>
    <row r="689">
      <c r="A689" s="2"/>
      <c r="B689" s="91"/>
      <c r="C689" s="2"/>
      <c r="H689" s="132"/>
      <c r="J689" s="133"/>
      <c r="M689" s="132"/>
      <c r="R689" s="132"/>
      <c r="W689" s="132"/>
      <c r="Z689" s="132"/>
      <c r="AA689" s="134"/>
      <c r="AB689" s="135"/>
      <c r="AF689" s="132"/>
      <c r="AG689" s="134"/>
    </row>
    <row r="690">
      <c r="A690" s="2"/>
      <c r="B690" s="91"/>
      <c r="C690" s="2"/>
      <c r="H690" s="132"/>
      <c r="J690" s="133"/>
      <c r="M690" s="132"/>
      <c r="R690" s="132"/>
      <c r="W690" s="132"/>
      <c r="Z690" s="132"/>
      <c r="AA690" s="134"/>
      <c r="AB690" s="135"/>
      <c r="AF690" s="132"/>
      <c r="AG690" s="134"/>
    </row>
    <row r="691">
      <c r="A691" s="2"/>
      <c r="B691" s="91"/>
      <c r="C691" s="2"/>
      <c r="H691" s="132"/>
      <c r="J691" s="133"/>
      <c r="M691" s="132"/>
      <c r="R691" s="132"/>
      <c r="W691" s="132"/>
      <c r="Z691" s="132"/>
      <c r="AA691" s="134"/>
      <c r="AB691" s="135"/>
      <c r="AF691" s="132"/>
      <c r="AG691" s="134"/>
    </row>
    <row r="692">
      <c r="A692" s="2"/>
      <c r="B692" s="91"/>
      <c r="C692" s="2"/>
      <c r="H692" s="132"/>
      <c r="J692" s="133"/>
      <c r="M692" s="132"/>
      <c r="R692" s="132"/>
      <c r="W692" s="132"/>
      <c r="Z692" s="132"/>
      <c r="AA692" s="134"/>
      <c r="AB692" s="135"/>
      <c r="AF692" s="132"/>
      <c r="AG692" s="134"/>
    </row>
    <row r="693">
      <c r="A693" s="2"/>
      <c r="B693" s="91"/>
      <c r="C693" s="2"/>
      <c r="H693" s="132"/>
      <c r="J693" s="133"/>
      <c r="M693" s="132"/>
      <c r="R693" s="132"/>
      <c r="W693" s="132"/>
      <c r="Z693" s="132"/>
      <c r="AA693" s="134"/>
      <c r="AB693" s="135"/>
      <c r="AF693" s="132"/>
      <c r="AG693" s="134"/>
    </row>
    <row r="694">
      <c r="A694" s="2"/>
      <c r="B694" s="91"/>
      <c r="C694" s="2"/>
      <c r="H694" s="132"/>
      <c r="J694" s="133"/>
      <c r="M694" s="132"/>
      <c r="R694" s="132"/>
      <c r="W694" s="132"/>
      <c r="Z694" s="132"/>
      <c r="AA694" s="134"/>
      <c r="AB694" s="135"/>
      <c r="AF694" s="132"/>
      <c r="AG694" s="134"/>
    </row>
    <row r="695">
      <c r="A695" s="2"/>
      <c r="B695" s="91"/>
      <c r="C695" s="2"/>
      <c r="H695" s="132"/>
      <c r="J695" s="133"/>
      <c r="M695" s="132"/>
      <c r="R695" s="132"/>
      <c r="W695" s="132"/>
      <c r="Z695" s="132"/>
      <c r="AA695" s="134"/>
      <c r="AB695" s="135"/>
      <c r="AF695" s="132"/>
      <c r="AG695" s="134"/>
    </row>
    <row r="696">
      <c r="A696" s="2"/>
      <c r="B696" s="91"/>
      <c r="C696" s="2"/>
      <c r="H696" s="132"/>
      <c r="J696" s="133"/>
      <c r="M696" s="132"/>
      <c r="R696" s="132"/>
      <c r="W696" s="132"/>
      <c r="Z696" s="132"/>
      <c r="AA696" s="134"/>
      <c r="AB696" s="135"/>
      <c r="AF696" s="132"/>
      <c r="AG696" s="134"/>
    </row>
    <row r="697">
      <c r="A697" s="2"/>
      <c r="B697" s="91"/>
      <c r="C697" s="2"/>
      <c r="H697" s="132"/>
      <c r="J697" s="133"/>
      <c r="M697" s="132"/>
      <c r="R697" s="132"/>
      <c r="W697" s="132"/>
      <c r="Z697" s="132"/>
      <c r="AA697" s="134"/>
      <c r="AB697" s="135"/>
      <c r="AF697" s="132"/>
      <c r="AG697" s="134"/>
    </row>
    <row r="698">
      <c r="A698" s="2"/>
      <c r="B698" s="91"/>
      <c r="C698" s="2"/>
      <c r="H698" s="132"/>
      <c r="J698" s="133"/>
      <c r="M698" s="132"/>
      <c r="R698" s="132"/>
      <c r="W698" s="132"/>
      <c r="Z698" s="132"/>
      <c r="AA698" s="134"/>
      <c r="AB698" s="135"/>
      <c r="AF698" s="132"/>
      <c r="AG698" s="134"/>
    </row>
    <row r="699">
      <c r="A699" s="2"/>
      <c r="B699" s="91"/>
      <c r="C699" s="2"/>
      <c r="H699" s="132"/>
      <c r="J699" s="133"/>
      <c r="M699" s="132"/>
      <c r="R699" s="132"/>
      <c r="W699" s="132"/>
      <c r="Z699" s="132"/>
      <c r="AA699" s="134"/>
      <c r="AB699" s="135"/>
      <c r="AF699" s="132"/>
      <c r="AG699" s="134"/>
    </row>
    <row r="700">
      <c r="A700" s="2"/>
      <c r="B700" s="91"/>
      <c r="C700" s="2"/>
      <c r="H700" s="132"/>
      <c r="J700" s="133"/>
      <c r="M700" s="132"/>
      <c r="R700" s="132"/>
      <c r="W700" s="132"/>
      <c r="Z700" s="132"/>
      <c r="AA700" s="134"/>
      <c r="AB700" s="135"/>
      <c r="AF700" s="132"/>
      <c r="AG700" s="134"/>
    </row>
    <row r="701">
      <c r="A701" s="2"/>
      <c r="B701" s="91"/>
      <c r="C701" s="2"/>
      <c r="H701" s="132"/>
      <c r="J701" s="133"/>
      <c r="M701" s="132"/>
      <c r="R701" s="132"/>
      <c r="W701" s="132"/>
      <c r="Z701" s="132"/>
      <c r="AA701" s="134"/>
      <c r="AB701" s="135"/>
      <c r="AF701" s="132"/>
      <c r="AG701" s="134"/>
    </row>
    <row r="702">
      <c r="A702" s="2"/>
      <c r="B702" s="91"/>
      <c r="C702" s="2"/>
      <c r="H702" s="132"/>
      <c r="J702" s="133"/>
      <c r="M702" s="132"/>
      <c r="R702" s="132"/>
      <c r="W702" s="132"/>
      <c r="Z702" s="132"/>
      <c r="AA702" s="134"/>
      <c r="AB702" s="135"/>
      <c r="AF702" s="132"/>
      <c r="AG702" s="134"/>
    </row>
    <row r="703">
      <c r="A703" s="2"/>
      <c r="B703" s="91"/>
      <c r="C703" s="2"/>
      <c r="H703" s="132"/>
      <c r="J703" s="133"/>
      <c r="M703" s="132"/>
      <c r="R703" s="132"/>
      <c r="W703" s="132"/>
      <c r="Z703" s="132"/>
      <c r="AA703" s="134"/>
      <c r="AB703" s="135"/>
      <c r="AF703" s="132"/>
      <c r="AG703" s="134"/>
    </row>
    <row r="704">
      <c r="A704" s="2"/>
      <c r="B704" s="91"/>
      <c r="C704" s="2"/>
      <c r="H704" s="132"/>
      <c r="J704" s="133"/>
      <c r="M704" s="132"/>
      <c r="R704" s="132"/>
      <c r="W704" s="132"/>
      <c r="Z704" s="132"/>
      <c r="AA704" s="134"/>
      <c r="AB704" s="135"/>
      <c r="AF704" s="132"/>
      <c r="AG704" s="134"/>
    </row>
    <row r="705">
      <c r="A705" s="2"/>
      <c r="B705" s="91"/>
      <c r="C705" s="2"/>
      <c r="H705" s="132"/>
      <c r="J705" s="133"/>
      <c r="M705" s="132"/>
      <c r="R705" s="132"/>
      <c r="W705" s="132"/>
      <c r="Z705" s="132"/>
      <c r="AA705" s="134"/>
      <c r="AB705" s="135"/>
      <c r="AF705" s="132"/>
      <c r="AG705" s="134"/>
    </row>
    <row r="706">
      <c r="A706" s="2"/>
      <c r="B706" s="91"/>
      <c r="C706" s="2"/>
      <c r="H706" s="132"/>
      <c r="J706" s="133"/>
      <c r="M706" s="132"/>
      <c r="R706" s="132"/>
      <c r="W706" s="132"/>
      <c r="Z706" s="132"/>
      <c r="AA706" s="134"/>
      <c r="AB706" s="135"/>
      <c r="AF706" s="132"/>
      <c r="AG706" s="134"/>
    </row>
    <row r="707">
      <c r="A707" s="2"/>
      <c r="B707" s="91"/>
      <c r="C707" s="2"/>
      <c r="H707" s="132"/>
      <c r="J707" s="133"/>
      <c r="M707" s="132"/>
      <c r="R707" s="132"/>
      <c r="W707" s="132"/>
      <c r="Z707" s="132"/>
      <c r="AA707" s="134"/>
      <c r="AB707" s="135"/>
      <c r="AF707" s="132"/>
      <c r="AG707" s="134"/>
    </row>
    <row r="708">
      <c r="A708" s="2"/>
      <c r="B708" s="91"/>
      <c r="C708" s="2"/>
      <c r="H708" s="132"/>
      <c r="J708" s="133"/>
      <c r="M708" s="132"/>
      <c r="R708" s="132"/>
      <c r="W708" s="132"/>
      <c r="Z708" s="132"/>
      <c r="AA708" s="134"/>
      <c r="AB708" s="135"/>
      <c r="AF708" s="132"/>
      <c r="AG708" s="134"/>
    </row>
    <row r="709">
      <c r="A709" s="2"/>
      <c r="B709" s="91"/>
      <c r="C709" s="2"/>
      <c r="H709" s="132"/>
      <c r="J709" s="133"/>
      <c r="M709" s="132"/>
      <c r="R709" s="132"/>
      <c r="W709" s="132"/>
      <c r="Z709" s="132"/>
      <c r="AA709" s="134"/>
      <c r="AB709" s="135"/>
      <c r="AF709" s="132"/>
      <c r="AG709" s="134"/>
    </row>
    <row r="710">
      <c r="A710" s="2"/>
      <c r="B710" s="91"/>
      <c r="C710" s="2"/>
      <c r="H710" s="132"/>
      <c r="J710" s="133"/>
      <c r="M710" s="132"/>
      <c r="R710" s="132"/>
      <c r="W710" s="132"/>
      <c r="Z710" s="132"/>
      <c r="AA710" s="134"/>
      <c r="AB710" s="135"/>
      <c r="AF710" s="132"/>
      <c r="AG710" s="134"/>
    </row>
    <row r="711">
      <c r="A711" s="2"/>
      <c r="B711" s="91"/>
      <c r="C711" s="2"/>
      <c r="H711" s="132"/>
      <c r="J711" s="133"/>
      <c r="M711" s="132"/>
      <c r="R711" s="132"/>
      <c r="W711" s="132"/>
      <c r="Z711" s="132"/>
      <c r="AA711" s="134"/>
      <c r="AB711" s="135"/>
      <c r="AF711" s="132"/>
      <c r="AG711" s="134"/>
    </row>
    <row r="712">
      <c r="A712" s="2"/>
      <c r="B712" s="91"/>
      <c r="C712" s="2"/>
      <c r="H712" s="132"/>
      <c r="J712" s="133"/>
      <c r="M712" s="132"/>
      <c r="R712" s="132"/>
      <c r="W712" s="132"/>
      <c r="Z712" s="132"/>
      <c r="AA712" s="134"/>
      <c r="AB712" s="135"/>
      <c r="AF712" s="132"/>
      <c r="AG712" s="134"/>
    </row>
    <row r="713">
      <c r="A713" s="2"/>
      <c r="B713" s="91"/>
      <c r="C713" s="2"/>
      <c r="H713" s="132"/>
      <c r="J713" s="133"/>
      <c r="M713" s="132"/>
      <c r="R713" s="132"/>
      <c r="W713" s="132"/>
      <c r="Z713" s="132"/>
      <c r="AA713" s="134"/>
      <c r="AB713" s="135"/>
      <c r="AF713" s="132"/>
      <c r="AG713" s="134"/>
    </row>
    <row r="714">
      <c r="A714" s="2"/>
      <c r="B714" s="91"/>
      <c r="C714" s="2"/>
      <c r="H714" s="132"/>
      <c r="J714" s="133"/>
      <c r="M714" s="132"/>
      <c r="R714" s="132"/>
      <c r="W714" s="132"/>
      <c r="Z714" s="132"/>
      <c r="AA714" s="134"/>
      <c r="AB714" s="135"/>
      <c r="AF714" s="132"/>
      <c r="AG714" s="134"/>
    </row>
    <row r="715">
      <c r="A715" s="2"/>
      <c r="B715" s="91"/>
      <c r="C715" s="2"/>
      <c r="H715" s="132"/>
      <c r="J715" s="133"/>
      <c r="M715" s="132"/>
      <c r="R715" s="132"/>
      <c r="W715" s="132"/>
      <c r="Z715" s="132"/>
      <c r="AA715" s="134"/>
      <c r="AB715" s="135"/>
      <c r="AF715" s="132"/>
      <c r="AG715" s="134"/>
    </row>
    <row r="716">
      <c r="A716" s="2"/>
      <c r="B716" s="91"/>
      <c r="C716" s="2"/>
      <c r="H716" s="132"/>
      <c r="J716" s="133"/>
      <c r="M716" s="132"/>
      <c r="R716" s="132"/>
      <c r="W716" s="132"/>
      <c r="Z716" s="132"/>
      <c r="AA716" s="134"/>
      <c r="AB716" s="135"/>
      <c r="AF716" s="132"/>
      <c r="AG716" s="134"/>
    </row>
    <row r="717">
      <c r="A717" s="2"/>
      <c r="B717" s="91"/>
      <c r="C717" s="2"/>
      <c r="H717" s="132"/>
      <c r="J717" s="133"/>
      <c r="M717" s="132"/>
      <c r="R717" s="132"/>
      <c r="W717" s="132"/>
      <c r="Z717" s="132"/>
      <c r="AA717" s="134"/>
      <c r="AB717" s="135"/>
      <c r="AF717" s="132"/>
      <c r="AG717" s="134"/>
    </row>
    <row r="718">
      <c r="A718" s="2"/>
      <c r="B718" s="91"/>
      <c r="C718" s="2"/>
      <c r="H718" s="132"/>
      <c r="J718" s="133"/>
      <c r="M718" s="132"/>
      <c r="R718" s="132"/>
      <c r="W718" s="132"/>
      <c r="Z718" s="132"/>
      <c r="AA718" s="134"/>
      <c r="AB718" s="135"/>
      <c r="AF718" s="132"/>
      <c r="AG718" s="134"/>
    </row>
    <row r="719">
      <c r="A719" s="2"/>
      <c r="B719" s="91"/>
      <c r="C719" s="2"/>
      <c r="H719" s="132"/>
      <c r="J719" s="133"/>
      <c r="M719" s="132"/>
      <c r="R719" s="132"/>
      <c r="W719" s="132"/>
      <c r="Z719" s="132"/>
      <c r="AA719" s="134"/>
      <c r="AB719" s="135"/>
      <c r="AF719" s="132"/>
      <c r="AG719" s="134"/>
    </row>
    <row r="720">
      <c r="A720" s="2"/>
      <c r="B720" s="91"/>
      <c r="C720" s="2"/>
      <c r="H720" s="132"/>
      <c r="J720" s="133"/>
      <c r="M720" s="132"/>
      <c r="R720" s="132"/>
      <c r="W720" s="132"/>
      <c r="Z720" s="132"/>
      <c r="AA720" s="134"/>
      <c r="AB720" s="135"/>
      <c r="AF720" s="132"/>
      <c r="AG720" s="134"/>
    </row>
    <row r="721">
      <c r="A721" s="2"/>
      <c r="B721" s="91"/>
      <c r="C721" s="2"/>
      <c r="H721" s="132"/>
      <c r="J721" s="133"/>
      <c r="M721" s="132"/>
      <c r="R721" s="132"/>
      <c r="W721" s="132"/>
      <c r="Z721" s="132"/>
      <c r="AA721" s="134"/>
      <c r="AB721" s="135"/>
      <c r="AF721" s="132"/>
      <c r="AG721" s="134"/>
    </row>
    <row r="722">
      <c r="A722" s="2"/>
      <c r="B722" s="91"/>
      <c r="C722" s="2"/>
      <c r="H722" s="132"/>
      <c r="J722" s="133"/>
      <c r="M722" s="132"/>
      <c r="R722" s="132"/>
      <c r="W722" s="132"/>
      <c r="Z722" s="132"/>
      <c r="AA722" s="134"/>
      <c r="AB722" s="135"/>
      <c r="AF722" s="132"/>
      <c r="AG722" s="134"/>
    </row>
    <row r="723">
      <c r="A723" s="2"/>
      <c r="B723" s="91"/>
      <c r="C723" s="2"/>
      <c r="H723" s="132"/>
      <c r="J723" s="133"/>
      <c r="M723" s="132"/>
      <c r="R723" s="132"/>
      <c r="W723" s="132"/>
      <c r="Z723" s="132"/>
      <c r="AA723" s="134"/>
      <c r="AB723" s="135"/>
      <c r="AF723" s="132"/>
      <c r="AG723" s="134"/>
    </row>
    <row r="724">
      <c r="A724" s="2"/>
      <c r="B724" s="91"/>
      <c r="C724" s="2"/>
      <c r="H724" s="132"/>
      <c r="J724" s="133"/>
      <c r="M724" s="132"/>
      <c r="R724" s="132"/>
      <c r="W724" s="132"/>
      <c r="Z724" s="132"/>
      <c r="AA724" s="134"/>
      <c r="AB724" s="135"/>
      <c r="AF724" s="132"/>
      <c r="AG724" s="134"/>
    </row>
    <row r="725">
      <c r="A725" s="2"/>
      <c r="B725" s="91"/>
      <c r="C725" s="2"/>
      <c r="H725" s="132"/>
      <c r="J725" s="133"/>
      <c r="M725" s="132"/>
      <c r="R725" s="132"/>
      <c r="W725" s="132"/>
      <c r="Z725" s="132"/>
      <c r="AA725" s="134"/>
      <c r="AB725" s="135"/>
      <c r="AF725" s="132"/>
      <c r="AG725" s="134"/>
    </row>
    <row r="726">
      <c r="A726" s="2"/>
      <c r="B726" s="91"/>
      <c r="C726" s="2"/>
      <c r="H726" s="132"/>
      <c r="J726" s="133"/>
      <c r="M726" s="132"/>
      <c r="R726" s="132"/>
      <c r="W726" s="132"/>
      <c r="Z726" s="132"/>
      <c r="AA726" s="134"/>
      <c r="AB726" s="135"/>
      <c r="AF726" s="132"/>
      <c r="AG726" s="134"/>
    </row>
    <row r="727">
      <c r="A727" s="2"/>
      <c r="B727" s="91"/>
      <c r="C727" s="2"/>
      <c r="H727" s="132"/>
      <c r="J727" s="133"/>
      <c r="M727" s="132"/>
      <c r="R727" s="132"/>
      <c r="W727" s="132"/>
      <c r="Z727" s="132"/>
      <c r="AA727" s="134"/>
      <c r="AB727" s="135"/>
      <c r="AF727" s="132"/>
      <c r="AG727" s="134"/>
    </row>
    <row r="728">
      <c r="A728" s="2"/>
      <c r="B728" s="91"/>
      <c r="C728" s="2"/>
      <c r="H728" s="132"/>
      <c r="J728" s="133"/>
      <c r="M728" s="132"/>
      <c r="R728" s="132"/>
      <c r="W728" s="132"/>
      <c r="Z728" s="132"/>
      <c r="AA728" s="134"/>
      <c r="AB728" s="135"/>
      <c r="AF728" s="132"/>
      <c r="AG728" s="134"/>
    </row>
    <row r="729">
      <c r="A729" s="2"/>
      <c r="B729" s="91"/>
      <c r="C729" s="2"/>
      <c r="H729" s="132"/>
      <c r="J729" s="133"/>
      <c r="M729" s="132"/>
      <c r="R729" s="132"/>
      <c r="W729" s="132"/>
      <c r="Z729" s="132"/>
      <c r="AA729" s="134"/>
      <c r="AB729" s="135"/>
      <c r="AF729" s="132"/>
      <c r="AG729" s="134"/>
    </row>
    <row r="730">
      <c r="A730" s="2"/>
      <c r="B730" s="91"/>
      <c r="C730" s="2"/>
      <c r="H730" s="132"/>
      <c r="J730" s="133"/>
      <c r="M730" s="132"/>
      <c r="R730" s="132"/>
      <c r="W730" s="132"/>
      <c r="Z730" s="132"/>
      <c r="AA730" s="134"/>
      <c r="AB730" s="135"/>
      <c r="AF730" s="132"/>
      <c r="AG730" s="134"/>
    </row>
    <row r="731">
      <c r="A731" s="2"/>
      <c r="B731" s="91"/>
      <c r="C731" s="2"/>
      <c r="H731" s="132"/>
      <c r="J731" s="133"/>
      <c r="M731" s="132"/>
      <c r="R731" s="132"/>
      <c r="W731" s="132"/>
      <c r="Z731" s="132"/>
      <c r="AA731" s="134"/>
      <c r="AB731" s="135"/>
      <c r="AF731" s="132"/>
      <c r="AG731" s="134"/>
    </row>
    <row r="732">
      <c r="A732" s="2"/>
      <c r="B732" s="91"/>
      <c r="C732" s="2"/>
      <c r="H732" s="132"/>
      <c r="J732" s="133"/>
      <c r="M732" s="132"/>
      <c r="R732" s="132"/>
      <c r="W732" s="132"/>
      <c r="Z732" s="132"/>
      <c r="AA732" s="134"/>
      <c r="AB732" s="135"/>
      <c r="AF732" s="132"/>
      <c r="AG732" s="134"/>
    </row>
    <row r="733">
      <c r="A733" s="2"/>
      <c r="B733" s="91"/>
      <c r="C733" s="2"/>
      <c r="H733" s="132"/>
      <c r="J733" s="133"/>
      <c r="M733" s="132"/>
      <c r="R733" s="132"/>
      <c r="W733" s="132"/>
      <c r="Z733" s="132"/>
      <c r="AA733" s="134"/>
      <c r="AB733" s="135"/>
      <c r="AF733" s="132"/>
      <c r="AG733" s="134"/>
    </row>
    <row r="734">
      <c r="A734" s="2"/>
      <c r="B734" s="91"/>
      <c r="C734" s="2"/>
      <c r="H734" s="132"/>
      <c r="J734" s="133"/>
      <c r="M734" s="132"/>
      <c r="R734" s="132"/>
      <c r="W734" s="132"/>
      <c r="Z734" s="132"/>
      <c r="AA734" s="134"/>
      <c r="AB734" s="135"/>
      <c r="AF734" s="132"/>
      <c r="AG734" s="134"/>
    </row>
    <row r="735">
      <c r="A735" s="2"/>
      <c r="B735" s="91"/>
      <c r="C735" s="2"/>
      <c r="H735" s="132"/>
      <c r="J735" s="133"/>
      <c r="M735" s="132"/>
      <c r="R735" s="132"/>
      <c r="W735" s="132"/>
      <c r="Z735" s="132"/>
      <c r="AA735" s="134"/>
      <c r="AB735" s="135"/>
      <c r="AF735" s="132"/>
      <c r="AG735" s="134"/>
    </row>
    <row r="736">
      <c r="A736" s="2"/>
      <c r="B736" s="91"/>
      <c r="C736" s="2"/>
      <c r="H736" s="132"/>
      <c r="J736" s="133"/>
      <c r="M736" s="132"/>
      <c r="R736" s="132"/>
      <c r="W736" s="132"/>
      <c r="Z736" s="132"/>
      <c r="AA736" s="134"/>
      <c r="AB736" s="135"/>
      <c r="AF736" s="132"/>
      <c r="AG736" s="134"/>
    </row>
    <row r="737">
      <c r="A737" s="2"/>
      <c r="B737" s="91"/>
      <c r="C737" s="2"/>
      <c r="H737" s="132"/>
      <c r="J737" s="133"/>
      <c r="M737" s="132"/>
      <c r="R737" s="132"/>
      <c r="W737" s="132"/>
      <c r="Z737" s="132"/>
      <c r="AA737" s="134"/>
      <c r="AB737" s="135"/>
      <c r="AF737" s="132"/>
      <c r="AG737" s="134"/>
    </row>
    <row r="738">
      <c r="A738" s="2"/>
      <c r="B738" s="91"/>
      <c r="C738" s="2"/>
      <c r="H738" s="132"/>
      <c r="J738" s="133"/>
      <c r="M738" s="132"/>
      <c r="R738" s="132"/>
      <c r="W738" s="132"/>
      <c r="Z738" s="132"/>
      <c r="AA738" s="134"/>
      <c r="AB738" s="135"/>
      <c r="AF738" s="132"/>
      <c r="AG738" s="134"/>
    </row>
    <row r="739">
      <c r="A739" s="2"/>
      <c r="B739" s="91"/>
      <c r="C739" s="2"/>
      <c r="H739" s="132"/>
      <c r="J739" s="133"/>
      <c r="M739" s="132"/>
      <c r="R739" s="132"/>
      <c r="W739" s="132"/>
      <c r="Z739" s="132"/>
      <c r="AA739" s="134"/>
      <c r="AB739" s="135"/>
      <c r="AF739" s="132"/>
      <c r="AG739" s="134"/>
    </row>
    <row r="740">
      <c r="A740" s="2"/>
      <c r="B740" s="91"/>
      <c r="C740" s="2"/>
      <c r="H740" s="132"/>
      <c r="J740" s="133"/>
      <c r="M740" s="132"/>
      <c r="R740" s="132"/>
      <c r="W740" s="132"/>
      <c r="Z740" s="132"/>
      <c r="AA740" s="134"/>
      <c r="AB740" s="135"/>
      <c r="AF740" s="132"/>
      <c r="AG740" s="134"/>
    </row>
    <row r="741">
      <c r="A741" s="2"/>
      <c r="B741" s="91"/>
      <c r="C741" s="2"/>
      <c r="H741" s="132"/>
      <c r="J741" s="133"/>
      <c r="M741" s="132"/>
      <c r="R741" s="132"/>
      <c r="W741" s="132"/>
      <c r="Z741" s="132"/>
      <c r="AA741" s="134"/>
      <c r="AB741" s="135"/>
      <c r="AF741" s="132"/>
      <c r="AG741" s="134"/>
    </row>
    <row r="742">
      <c r="A742" s="2"/>
      <c r="B742" s="91"/>
      <c r="C742" s="2"/>
      <c r="H742" s="132"/>
      <c r="J742" s="133"/>
      <c r="M742" s="132"/>
      <c r="R742" s="132"/>
      <c r="W742" s="132"/>
      <c r="Z742" s="132"/>
      <c r="AA742" s="134"/>
      <c r="AB742" s="135"/>
      <c r="AF742" s="132"/>
      <c r="AG742" s="134"/>
    </row>
    <row r="743">
      <c r="A743" s="2"/>
      <c r="B743" s="91"/>
      <c r="C743" s="2"/>
      <c r="H743" s="132"/>
      <c r="J743" s="133"/>
      <c r="M743" s="132"/>
      <c r="R743" s="132"/>
      <c r="W743" s="132"/>
      <c r="Z743" s="132"/>
      <c r="AA743" s="134"/>
      <c r="AB743" s="135"/>
      <c r="AF743" s="132"/>
      <c r="AG743" s="134"/>
    </row>
    <row r="744">
      <c r="A744" s="2"/>
      <c r="B744" s="91"/>
      <c r="C744" s="2"/>
      <c r="H744" s="132"/>
      <c r="J744" s="133"/>
      <c r="M744" s="132"/>
      <c r="R744" s="132"/>
      <c r="W744" s="132"/>
      <c r="Z744" s="132"/>
      <c r="AA744" s="134"/>
      <c r="AB744" s="135"/>
      <c r="AF744" s="132"/>
      <c r="AG744" s="134"/>
    </row>
    <row r="745">
      <c r="A745" s="2"/>
      <c r="B745" s="91"/>
      <c r="C745" s="2"/>
      <c r="H745" s="132"/>
      <c r="J745" s="133"/>
      <c r="M745" s="132"/>
      <c r="R745" s="132"/>
      <c r="W745" s="132"/>
      <c r="Z745" s="132"/>
      <c r="AA745" s="134"/>
      <c r="AB745" s="135"/>
      <c r="AF745" s="132"/>
      <c r="AG745" s="134"/>
    </row>
    <row r="746">
      <c r="A746" s="2"/>
      <c r="B746" s="91"/>
      <c r="C746" s="2"/>
      <c r="H746" s="132"/>
      <c r="J746" s="133"/>
      <c r="M746" s="132"/>
      <c r="R746" s="132"/>
      <c r="W746" s="132"/>
      <c r="Z746" s="132"/>
      <c r="AA746" s="134"/>
      <c r="AB746" s="135"/>
      <c r="AF746" s="132"/>
      <c r="AG746" s="134"/>
    </row>
    <row r="747">
      <c r="A747" s="2"/>
      <c r="B747" s="91"/>
      <c r="C747" s="2"/>
      <c r="H747" s="132"/>
      <c r="J747" s="133"/>
      <c r="M747" s="132"/>
      <c r="R747" s="132"/>
      <c r="W747" s="132"/>
      <c r="Z747" s="132"/>
      <c r="AA747" s="134"/>
      <c r="AB747" s="135"/>
      <c r="AF747" s="132"/>
      <c r="AG747" s="134"/>
    </row>
    <row r="748">
      <c r="A748" s="2"/>
      <c r="B748" s="91"/>
      <c r="C748" s="2"/>
      <c r="H748" s="132"/>
      <c r="J748" s="133"/>
      <c r="M748" s="132"/>
      <c r="R748" s="132"/>
      <c r="W748" s="132"/>
      <c r="Z748" s="132"/>
      <c r="AA748" s="134"/>
      <c r="AB748" s="135"/>
      <c r="AF748" s="132"/>
      <c r="AG748" s="134"/>
    </row>
    <row r="749">
      <c r="A749" s="2"/>
      <c r="B749" s="91"/>
      <c r="C749" s="2"/>
      <c r="H749" s="132"/>
      <c r="J749" s="133"/>
      <c r="M749" s="132"/>
      <c r="R749" s="132"/>
      <c r="W749" s="132"/>
      <c r="Z749" s="132"/>
      <c r="AA749" s="134"/>
      <c r="AB749" s="135"/>
      <c r="AF749" s="132"/>
      <c r="AG749" s="134"/>
    </row>
    <row r="750">
      <c r="A750" s="2"/>
      <c r="B750" s="91"/>
      <c r="C750" s="2"/>
      <c r="H750" s="132"/>
      <c r="J750" s="133"/>
      <c r="M750" s="132"/>
      <c r="R750" s="132"/>
      <c r="W750" s="132"/>
      <c r="Z750" s="132"/>
      <c r="AA750" s="134"/>
      <c r="AB750" s="135"/>
      <c r="AF750" s="132"/>
      <c r="AG750" s="134"/>
    </row>
    <row r="751">
      <c r="A751" s="2"/>
      <c r="B751" s="91"/>
      <c r="C751" s="2"/>
      <c r="H751" s="132"/>
      <c r="J751" s="133"/>
      <c r="M751" s="132"/>
      <c r="R751" s="132"/>
      <c r="W751" s="132"/>
      <c r="Z751" s="132"/>
      <c r="AA751" s="134"/>
      <c r="AB751" s="135"/>
      <c r="AF751" s="132"/>
      <c r="AG751" s="134"/>
    </row>
    <row r="752">
      <c r="A752" s="2"/>
      <c r="B752" s="91"/>
      <c r="C752" s="2"/>
      <c r="H752" s="132"/>
      <c r="J752" s="133"/>
      <c r="M752" s="132"/>
      <c r="R752" s="132"/>
      <c r="W752" s="132"/>
      <c r="Z752" s="132"/>
      <c r="AA752" s="134"/>
      <c r="AB752" s="135"/>
      <c r="AF752" s="132"/>
      <c r="AG752" s="134"/>
    </row>
    <row r="753">
      <c r="A753" s="2"/>
      <c r="B753" s="91"/>
      <c r="C753" s="2"/>
      <c r="H753" s="132"/>
      <c r="J753" s="133"/>
      <c r="M753" s="132"/>
      <c r="R753" s="132"/>
      <c r="W753" s="132"/>
      <c r="Z753" s="132"/>
      <c r="AA753" s="134"/>
      <c r="AB753" s="135"/>
      <c r="AF753" s="132"/>
      <c r="AG753" s="134"/>
    </row>
    <row r="754">
      <c r="A754" s="2"/>
      <c r="B754" s="91"/>
      <c r="C754" s="2"/>
      <c r="H754" s="132"/>
      <c r="J754" s="133"/>
      <c r="M754" s="132"/>
      <c r="R754" s="132"/>
      <c r="W754" s="132"/>
      <c r="Z754" s="132"/>
      <c r="AA754" s="134"/>
      <c r="AB754" s="135"/>
      <c r="AF754" s="132"/>
      <c r="AG754" s="134"/>
    </row>
    <row r="755">
      <c r="A755" s="2"/>
      <c r="B755" s="91"/>
      <c r="C755" s="2"/>
      <c r="H755" s="132"/>
      <c r="J755" s="133"/>
      <c r="M755" s="132"/>
      <c r="R755" s="132"/>
      <c r="W755" s="132"/>
      <c r="Z755" s="132"/>
      <c r="AA755" s="134"/>
      <c r="AB755" s="135"/>
      <c r="AF755" s="132"/>
      <c r="AG755" s="134"/>
    </row>
    <row r="756">
      <c r="A756" s="2"/>
      <c r="B756" s="91"/>
      <c r="C756" s="2"/>
      <c r="H756" s="132"/>
      <c r="J756" s="133"/>
      <c r="M756" s="132"/>
      <c r="R756" s="132"/>
      <c r="W756" s="132"/>
      <c r="Z756" s="132"/>
      <c r="AA756" s="134"/>
      <c r="AB756" s="135"/>
      <c r="AF756" s="132"/>
      <c r="AG756" s="134"/>
    </row>
    <row r="757">
      <c r="A757" s="2"/>
      <c r="B757" s="91"/>
      <c r="C757" s="2"/>
      <c r="H757" s="132"/>
      <c r="J757" s="133"/>
      <c r="M757" s="132"/>
      <c r="R757" s="132"/>
      <c r="W757" s="132"/>
      <c r="Z757" s="132"/>
      <c r="AA757" s="134"/>
      <c r="AB757" s="135"/>
      <c r="AF757" s="132"/>
      <c r="AG757" s="134"/>
    </row>
    <row r="758">
      <c r="A758" s="2"/>
      <c r="B758" s="91"/>
      <c r="C758" s="2"/>
      <c r="H758" s="132"/>
      <c r="J758" s="133"/>
      <c r="M758" s="132"/>
      <c r="R758" s="132"/>
      <c r="W758" s="132"/>
      <c r="Z758" s="132"/>
      <c r="AA758" s="134"/>
      <c r="AB758" s="135"/>
      <c r="AF758" s="132"/>
      <c r="AG758" s="134"/>
    </row>
    <row r="759">
      <c r="A759" s="2"/>
      <c r="B759" s="91"/>
      <c r="C759" s="2"/>
      <c r="H759" s="132"/>
      <c r="J759" s="133"/>
      <c r="M759" s="132"/>
      <c r="R759" s="132"/>
      <c r="W759" s="132"/>
      <c r="Z759" s="132"/>
      <c r="AA759" s="134"/>
      <c r="AB759" s="135"/>
      <c r="AF759" s="132"/>
      <c r="AG759" s="134"/>
    </row>
    <row r="760">
      <c r="A760" s="2"/>
      <c r="B760" s="91"/>
      <c r="C760" s="2"/>
      <c r="H760" s="132"/>
      <c r="J760" s="133"/>
      <c r="M760" s="132"/>
      <c r="R760" s="132"/>
      <c r="W760" s="132"/>
      <c r="Z760" s="132"/>
      <c r="AA760" s="134"/>
      <c r="AB760" s="135"/>
      <c r="AF760" s="132"/>
      <c r="AG760" s="134"/>
    </row>
    <row r="761">
      <c r="A761" s="2"/>
      <c r="B761" s="91"/>
      <c r="C761" s="2"/>
      <c r="H761" s="132"/>
      <c r="J761" s="133"/>
      <c r="M761" s="132"/>
      <c r="R761" s="132"/>
      <c r="W761" s="132"/>
      <c r="Z761" s="132"/>
      <c r="AA761" s="134"/>
      <c r="AB761" s="135"/>
      <c r="AF761" s="132"/>
      <c r="AG761" s="134"/>
    </row>
    <row r="762">
      <c r="A762" s="2"/>
      <c r="B762" s="91"/>
      <c r="C762" s="2"/>
      <c r="H762" s="132"/>
      <c r="J762" s="133"/>
      <c r="M762" s="132"/>
      <c r="R762" s="132"/>
      <c r="W762" s="132"/>
      <c r="Z762" s="132"/>
      <c r="AA762" s="134"/>
      <c r="AB762" s="135"/>
      <c r="AF762" s="132"/>
      <c r="AG762" s="134"/>
    </row>
    <row r="763">
      <c r="A763" s="2"/>
      <c r="B763" s="91"/>
      <c r="C763" s="2"/>
      <c r="H763" s="132"/>
      <c r="J763" s="133"/>
      <c r="M763" s="132"/>
      <c r="R763" s="132"/>
      <c r="W763" s="132"/>
      <c r="Z763" s="132"/>
      <c r="AA763" s="134"/>
      <c r="AB763" s="135"/>
      <c r="AF763" s="132"/>
      <c r="AG763" s="134"/>
    </row>
    <row r="764">
      <c r="A764" s="2"/>
      <c r="B764" s="91"/>
      <c r="C764" s="2"/>
      <c r="H764" s="132"/>
      <c r="J764" s="133"/>
      <c r="M764" s="132"/>
      <c r="R764" s="132"/>
      <c r="W764" s="132"/>
      <c r="Z764" s="132"/>
      <c r="AA764" s="134"/>
      <c r="AB764" s="135"/>
      <c r="AF764" s="132"/>
      <c r="AG764" s="134"/>
    </row>
    <row r="765">
      <c r="A765" s="2"/>
      <c r="B765" s="91"/>
      <c r="C765" s="2"/>
      <c r="H765" s="132"/>
      <c r="J765" s="133"/>
      <c r="M765" s="132"/>
      <c r="R765" s="132"/>
      <c r="W765" s="132"/>
      <c r="Z765" s="132"/>
      <c r="AA765" s="134"/>
      <c r="AB765" s="135"/>
      <c r="AF765" s="132"/>
      <c r="AG765" s="134"/>
    </row>
    <row r="766">
      <c r="A766" s="2"/>
      <c r="B766" s="91"/>
      <c r="C766" s="2"/>
      <c r="H766" s="132"/>
      <c r="J766" s="133"/>
      <c r="M766" s="132"/>
      <c r="R766" s="132"/>
      <c r="W766" s="132"/>
      <c r="Z766" s="132"/>
      <c r="AA766" s="134"/>
      <c r="AB766" s="135"/>
      <c r="AF766" s="132"/>
      <c r="AG766" s="134"/>
    </row>
    <row r="767">
      <c r="A767" s="2"/>
      <c r="B767" s="91"/>
      <c r="C767" s="2"/>
      <c r="H767" s="132"/>
      <c r="J767" s="133"/>
      <c r="M767" s="132"/>
      <c r="R767" s="132"/>
      <c r="W767" s="132"/>
      <c r="Z767" s="132"/>
      <c r="AA767" s="134"/>
      <c r="AB767" s="135"/>
      <c r="AF767" s="132"/>
      <c r="AG767" s="134"/>
    </row>
    <row r="768">
      <c r="A768" s="2"/>
      <c r="B768" s="91"/>
      <c r="C768" s="2"/>
      <c r="H768" s="132"/>
      <c r="J768" s="133"/>
      <c r="M768" s="132"/>
      <c r="R768" s="132"/>
      <c r="W768" s="132"/>
      <c r="Z768" s="132"/>
      <c r="AA768" s="134"/>
      <c r="AB768" s="135"/>
      <c r="AF768" s="132"/>
      <c r="AG768" s="134"/>
    </row>
    <row r="769">
      <c r="A769" s="2"/>
      <c r="B769" s="91"/>
      <c r="C769" s="2"/>
      <c r="H769" s="132"/>
      <c r="J769" s="133"/>
      <c r="M769" s="132"/>
      <c r="R769" s="132"/>
      <c r="W769" s="132"/>
      <c r="Z769" s="132"/>
      <c r="AA769" s="134"/>
      <c r="AB769" s="135"/>
      <c r="AF769" s="132"/>
      <c r="AG769" s="134"/>
    </row>
    <row r="770">
      <c r="A770" s="2"/>
      <c r="B770" s="91"/>
      <c r="C770" s="2"/>
      <c r="H770" s="132"/>
      <c r="J770" s="133"/>
      <c r="M770" s="132"/>
      <c r="R770" s="132"/>
      <c r="W770" s="132"/>
      <c r="Z770" s="132"/>
      <c r="AA770" s="134"/>
      <c r="AB770" s="135"/>
      <c r="AF770" s="132"/>
      <c r="AG770" s="134"/>
    </row>
    <row r="771">
      <c r="A771" s="2"/>
      <c r="B771" s="91"/>
      <c r="C771" s="2"/>
      <c r="H771" s="132"/>
      <c r="J771" s="133"/>
      <c r="M771" s="132"/>
      <c r="R771" s="132"/>
      <c r="W771" s="132"/>
      <c r="Z771" s="132"/>
      <c r="AA771" s="134"/>
      <c r="AB771" s="135"/>
      <c r="AF771" s="132"/>
      <c r="AG771" s="134"/>
    </row>
    <row r="772">
      <c r="A772" s="2"/>
      <c r="B772" s="91"/>
      <c r="C772" s="2"/>
      <c r="H772" s="132"/>
      <c r="J772" s="133"/>
      <c r="M772" s="132"/>
      <c r="R772" s="132"/>
      <c r="W772" s="132"/>
      <c r="Z772" s="132"/>
      <c r="AA772" s="134"/>
      <c r="AB772" s="135"/>
      <c r="AF772" s="132"/>
      <c r="AG772" s="134"/>
    </row>
    <row r="773">
      <c r="A773" s="2"/>
      <c r="B773" s="91"/>
      <c r="C773" s="2"/>
      <c r="H773" s="132"/>
      <c r="J773" s="133"/>
      <c r="M773" s="132"/>
      <c r="R773" s="132"/>
      <c r="W773" s="132"/>
      <c r="Z773" s="132"/>
      <c r="AA773" s="134"/>
      <c r="AB773" s="135"/>
      <c r="AF773" s="132"/>
      <c r="AG773" s="134"/>
    </row>
    <row r="774">
      <c r="A774" s="2"/>
      <c r="B774" s="91"/>
      <c r="C774" s="2"/>
      <c r="H774" s="132"/>
      <c r="J774" s="133"/>
      <c r="M774" s="132"/>
      <c r="R774" s="132"/>
      <c r="W774" s="132"/>
      <c r="Z774" s="132"/>
      <c r="AA774" s="134"/>
      <c r="AB774" s="135"/>
      <c r="AF774" s="132"/>
      <c r="AG774" s="134"/>
    </row>
    <row r="775">
      <c r="A775" s="2"/>
      <c r="B775" s="91"/>
      <c r="C775" s="2"/>
      <c r="H775" s="132"/>
      <c r="J775" s="133"/>
      <c r="M775" s="132"/>
      <c r="R775" s="132"/>
      <c r="W775" s="132"/>
      <c r="Z775" s="132"/>
      <c r="AA775" s="134"/>
      <c r="AB775" s="135"/>
      <c r="AF775" s="132"/>
      <c r="AG775" s="134"/>
    </row>
    <row r="776">
      <c r="A776" s="2"/>
      <c r="B776" s="91"/>
      <c r="C776" s="2"/>
      <c r="H776" s="132"/>
      <c r="J776" s="133"/>
      <c r="M776" s="132"/>
      <c r="R776" s="132"/>
      <c r="W776" s="132"/>
      <c r="Z776" s="132"/>
      <c r="AA776" s="134"/>
      <c r="AB776" s="135"/>
      <c r="AF776" s="132"/>
      <c r="AG776" s="134"/>
    </row>
    <row r="777">
      <c r="A777" s="2"/>
      <c r="B777" s="91"/>
      <c r="C777" s="2"/>
      <c r="H777" s="132"/>
      <c r="J777" s="133"/>
      <c r="M777" s="132"/>
      <c r="R777" s="132"/>
      <c r="W777" s="132"/>
      <c r="Z777" s="132"/>
      <c r="AA777" s="134"/>
      <c r="AB777" s="135"/>
      <c r="AF777" s="132"/>
      <c r="AG777" s="134"/>
    </row>
    <row r="778">
      <c r="A778" s="2"/>
      <c r="B778" s="91"/>
      <c r="C778" s="2"/>
      <c r="H778" s="132"/>
      <c r="J778" s="133"/>
      <c r="M778" s="132"/>
      <c r="R778" s="132"/>
      <c r="W778" s="132"/>
      <c r="Z778" s="132"/>
      <c r="AA778" s="134"/>
      <c r="AB778" s="135"/>
      <c r="AF778" s="132"/>
      <c r="AG778" s="134"/>
    </row>
    <row r="779">
      <c r="A779" s="2"/>
      <c r="B779" s="91"/>
      <c r="C779" s="2"/>
      <c r="H779" s="132"/>
      <c r="J779" s="133"/>
      <c r="M779" s="132"/>
      <c r="R779" s="132"/>
      <c r="W779" s="132"/>
      <c r="Z779" s="132"/>
      <c r="AA779" s="134"/>
      <c r="AB779" s="135"/>
      <c r="AF779" s="132"/>
      <c r="AG779" s="134"/>
    </row>
    <row r="780">
      <c r="A780" s="2"/>
      <c r="B780" s="91"/>
      <c r="C780" s="2"/>
      <c r="H780" s="132"/>
      <c r="J780" s="133"/>
      <c r="M780" s="132"/>
      <c r="R780" s="132"/>
      <c r="W780" s="132"/>
      <c r="Z780" s="132"/>
      <c r="AA780" s="134"/>
      <c r="AB780" s="135"/>
      <c r="AF780" s="132"/>
      <c r="AG780" s="134"/>
    </row>
    <row r="781">
      <c r="A781" s="2"/>
      <c r="B781" s="91"/>
      <c r="C781" s="2"/>
      <c r="H781" s="132"/>
      <c r="J781" s="133"/>
      <c r="M781" s="132"/>
      <c r="R781" s="132"/>
      <c r="W781" s="132"/>
      <c r="Z781" s="132"/>
      <c r="AA781" s="134"/>
      <c r="AB781" s="135"/>
      <c r="AF781" s="132"/>
      <c r="AG781" s="134"/>
    </row>
    <row r="782">
      <c r="A782" s="2"/>
      <c r="B782" s="91"/>
      <c r="C782" s="2"/>
      <c r="H782" s="132"/>
      <c r="J782" s="133"/>
      <c r="M782" s="132"/>
      <c r="R782" s="132"/>
      <c r="W782" s="132"/>
      <c r="Z782" s="132"/>
      <c r="AA782" s="134"/>
      <c r="AB782" s="135"/>
      <c r="AF782" s="132"/>
      <c r="AG782" s="134"/>
    </row>
    <row r="783">
      <c r="A783" s="2"/>
      <c r="B783" s="91"/>
      <c r="C783" s="2"/>
      <c r="H783" s="132"/>
      <c r="J783" s="133"/>
      <c r="M783" s="132"/>
      <c r="R783" s="132"/>
      <c r="W783" s="132"/>
      <c r="Z783" s="132"/>
      <c r="AA783" s="134"/>
      <c r="AB783" s="135"/>
      <c r="AF783" s="132"/>
      <c r="AG783" s="134"/>
    </row>
    <row r="784">
      <c r="A784" s="2"/>
      <c r="B784" s="91"/>
      <c r="C784" s="2"/>
      <c r="H784" s="132"/>
      <c r="J784" s="133"/>
      <c r="M784" s="132"/>
      <c r="R784" s="132"/>
      <c r="W784" s="132"/>
      <c r="Z784" s="132"/>
      <c r="AA784" s="134"/>
      <c r="AB784" s="135"/>
      <c r="AF784" s="132"/>
      <c r="AG784" s="134"/>
    </row>
    <row r="785">
      <c r="A785" s="2"/>
      <c r="B785" s="91"/>
      <c r="C785" s="2"/>
      <c r="H785" s="132"/>
      <c r="J785" s="133"/>
      <c r="M785" s="132"/>
      <c r="R785" s="132"/>
      <c r="W785" s="132"/>
      <c r="Z785" s="132"/>
      <c r="AA785" s="134"/>
      <c r="AB785" s="135"/>
      <c r="AF785" s="132"/>
      <c r="AG785" s="134"/>
    </row>
    <row r="786">
      <c r="A786" s="2"/>
      <c r="B786" s="91"/>
      <c r="C786" s="2"/>
      <c r="H786" s="132"/>
      <c r="J786" s="133"/>
      <c r="M786" s="132"/>
      <c r="R786" s="132"/>
      <c r="W786" s="132"/>
      <c r="Z786" s="132"/>
      <c r="AA786" s="134"/>
      <c r="AB786" s="135"/>
      <c r="AF786" s="132"/>
      <c r="AG786" s="134"/>
    </row>
    <row r="787">
      <c r="A787" s="2"/>
      <c r="B787" s="91"/>
      <c r="C787" s="2"/>
      <c r="H787" s="132"/>
      <c r="J787" s="133"/>
      <c r="M787" s="132"/>
      <c r="R787" s="132"/>
      <c r="W787" s="132"/>
      <c r="Z787" s="132"/>
      <c r="AA787" s="134"/>
      <c r="AB787" s="135"/>
      <c r="AF787" s="132"/>
      <c r="AG787" s="134"/>
    </row>
    <row r="788">
      <c r="A788" s="2"/>
      <c r="B788" s="91"/>
      <c r="C788" s="2"/>
      <c r="H788" s="132"/>
      <c r="J788" s="133"/>
      <c r="M788" s="132"/>
      <c r="R788" s="132"/>
      <c r="W788" s="132"/>
      <c r="Z788" s="132"/>
      <c r="AA788" s="134"/>
      <c r="AB788" s="135"/>
      <c r="AF788" s="132"/>
      <c r="AG788" s="134"/>
    </row>
    <row r="789">
      <c r="A789" s="2"/>
      <c r="B789" s="91"/>
      <c r="C789" s="2"/>
      <c r="H789" s="132"/>
      <c r="J789" s="133"/>
      <c r="M789" s="132"/>
      <c r="R789" s="132"/>
      <c r="W789" s="132"/>
      <c r="Z789" s="132"/>
      <c r="AA789" s="134"/>
      <c r="AB789" s="135"/>
      <c r="AF789" s="132"/>
      <c r="AG789" s="134"/>
    </row>
    <row r="790">
      <c r="A790" s="2"/>
      <c r="B790" s="91"/>
      <c r="C790" s="2"/>
      <c r="H790" s="132"/>
      <c r="J790" s="133"/>
      <c r="M790" s="132"/>
      <c r="R790" s="132"/>
      <c r="W790" s="132"/>
      <c r="Z790" s="132"/>
      <c r="AA790" s="134"/>
      <c r="AB790" s="135"/>
      <c r="AF790" s="132"/>
      <c r="AG790" s="134"/>
    </row>
    <row r="791">
      <c r="A791" s="2"/>
      <c r="B791" s="91"/>
      <c r="C791" s="2"/>
      <c r="H791" s="132"/>
      <c r="J791" s="133"/>
      <c r="M791" s="132"/>
      <c r="R791" s="132"/>
      <c r="W791" s="132"/>
      <c r="Z791" s="132"/>
      <c r="AA791" s="134"/>
      <c r="AB791" s="135"/>
      <c r="AF791" s="132"/>
      <c r="AG791" s="134"/>
    </row>
    <row r="792">
      <c r="A792" s="2"/>
      <c r="B792" s="91"/>
      <c r="C792" s="2"/>
      <c r="H792" s="132"/>
      <c r="J792" s="133"/>
      <c r="M792" s="132"/>
      <c r="R792" s="132"/>
      <c r="W792" s="132"/>
      <c r="Z792" s="132"/>
      <c r="AA792" s="134"/>
      <c r="AB792" s="135"/>
      <c r="AF792" s="132"/>
      <c r="AG792" s="134"/>
    </row>
    <row r="793">
      <c r="A793" s="2"/>
      <c r="B793" s="91"/>
      <c r="C793" s="2"/>
      <c r="H793" s="132"/>
      <c r="J793" s="133"/>
      <c r="M793" s="132"/>
      <c r="R793" s="132"/>
      <c r="W793" s="132"/>
      <c r="Z793" s="132"/>
      <c r="AA793" s="134"/>
      <c r="AB793" s="135"/>
      <c r="AF793" s="132"/>
      <c r="AG793" s="134"/>
    </row>
    <row r="794">
      <c r="A794" s="2"/>
      <c r="B794" s="91"/>
      <c r="C794" s="2"/>
      <c r="H794" s="132"/>
      <c r="J794" s="133"/>
      <c r="M794" s="132"/>
      <c r="R794" s="132"/>
      <c r="W794" s="132"/>
      <c r="Z794" s="132"/>
      <c r="AA794" s="134"/>
      <c r="AB794" s="135"/>
      <c r="AF794" s="132"/>
      <c r="AG794" s="134"/>
    </row>
    <row r="795">
      <c r="A795" s="2"/>
      <c r="B795" s="91"/>
      <c r="C795" s="2"/>
      <c r="H795" s="132"/>
      <c r="J795" s="133"/>
      <c r="M795" s="132"/>
      <c r="R795" s="132"/>
      <c r="W795" s="132"/>
      <c r="Z795" s="132"/>
      <c r="AA795" s="134"/>
      <c r="AB795" s="135"/>
      <c r="AF795" s="132"/>
      <c r="AG795" s="134"/>
    </row>
    <row r="796">
      <c r="A796" s="2"/>
      <c r="B796" s="91"/>
      <c r="C796" s="2"/>
      <c r="H796" s="132"/>
      <c r="J796" s="133"/>
      <c r="M796" s="132"/>
      <c r="R796" s="132"/>
      <c r="W796" s="132"/>
      <c r="Z796" s="132"/>
      <c r="AA796" s="134"/>
      <c r="AB796" s="135"/>
      <c r="AF796" s="132"/>
      <c r="AG796" s="134"/>
    </row>
    <row r="797">
      <c r="A797" s="2"/>
      <c r="B797" s="91"/>
      <c r="C797" s="2"/>
      <c r="H797" s="132"/>
      <c r="J797" s="133"/>
      <c r="M797" s="132"/>
      <c r="R797" s="132"/>
      <c r="W797" s="132"/>
      <c r="Z797" s="132"/>
      <c r="AA797" s="134"/>
      <c r="AB797" s="135"/>
      <c r="AF797" s="132"/>
      <c r="AG797" s="134"/>
    </row>
    <row r="798">
      <c r="A798" s="2"/>
      <c r="B798" s="91"/>
      <c r="C798" s="2"/>
      <c r="H798" s="132"/>
      <c r="J798" s="133"/>
      <c r="M798" s="132"/>
      <c r="R798" s="132"/>
      <c r="W798" s="132"/>
      <c r="Z798" s="132"/>
      <c r="AA798" s="134"/>
      <c r="AB798" s="135"/>
      <c r="AF798" s="132"/>
      <c r="AG798" s="134"/>
    </row>
    <row r="799">
      <c r="A799" s="2"/>
      <c r="B799" s="91"/>
      <c r="C799" s="2"/>
      <c r="H799" s="132"/>
      <c r="J799" s="133"/>
      <c r="M799" s="132"/>
      <c r="R799" s="132"/>
      <c r="W799" s="132"/>
      <c r="Z799" s="132"/>
      <c r="AA799" s="134"/>
      <c r="AB799" s="135"/>
      <c r="AF799" s="132"/>
      <c r="AG799" s="134"/>
    </row>
    <row r="800">
      <c r="A800" s="2"/>
      <c r="B800" s="91"/>
      <c r="C800" s="2"/>
      <c r="H800" s="132"/>
      <c r="J800" s="133"/>
      <c r="M800" s="132"/>
      <c r="R800" s="132"/>
      <c r="W800" s="132"/>
      <c r="Z800" s="132"/>
      <c r="AA800" s="134"/>
      <c r="AB800" s="135"/>
      <c r="AF800" s="132"/>
      <c r="AG800" s="134"/>
    </row>
    <row r="801">
      <c r="A801" s="2"/>
      <c r="B801" s="91"/>
      <c r="C801" s="2"/>
      <c r="H801" s="132"/>
      <c r="J801" s="133"/>
      <c r="M801" s="132"/>
      <c r="R801" s="132"/>
      <c r="W801" s="132"/>
      <c r="Z801" s="132"/>
      <c r="AA801" s="134"/>
      <c r="AB801" s="135"/>
      <c r="AF801" s="132"/>
      <c r="AG801" s="134"/>
    </row>
    <row r="802">
      <c r="A802" s="2"/>
      <c r="B802" s="91"/>
      <c r="C802" s="2"/>
      <c r="H802" s="132"/>
      <c r="J802" s="133"/>
      <c r="M802" s="132"/>
      <c r="R802" s="132"/>
      <c r="W802" s="132"/>
      <c r="Z802" s="132"/>
      <c r="AA802" s="134"/>
      <c r="AB802" s="135"/>
      <c r="AF802" s="132"/>
      <c r="AG802" s="134"/>
    </row>
    <row r="803">
      <c r="A803" s="2"/>
      <c r="B803" s="91"/>
      <c r="C803" s="2"/>
      <c r="H803" s="132"/>
      <c r="J803" s="133"/>
      <c r="M803" s="132"/>
      <c r="R803" s="132"/>
      <c r="W803" s="132"/>
      <c r="Z803" s="132"/>
      <c r="AA803" s="134"/>
      <c r="AB803" s="135"/>
      <c r="AF803" s="132"/>
      <c r="AG803" s="134"/>
    </row>
    <row r="804">
      <c r="A804" s="2"/>
      <c r="B804" s="91"/>
      <c r="C804" s="2"/>
      <c r="H804" s="132"/>
      <c r="J804" s="133"/>
      <c r="M804" s="132"/>
      <c r="R804" s="132"/>
      <c r="W804" s="132"/>
      <c r="Z804" s="132"/>
      <c r="AA804" s="134"/>
      <c r="AB804" s="135"/>
      <c r="AF804" s="132"/>
      <c r="AG804" s="134"/>
    </row>
    <row r="805">
      <c r="A805" s="2"/>
      <c r="B805" s="91"/>
      <c r="C805" s="2"/>
      <c r="H805" s="132"/>
      <c r="J805" s="133"/>
      <c r="M805" s="132"/>
      <c r="R805" s="132"/>
      <c r="W805" s="132"/>
      <c r="Z805" s="132"/>
      <c r="AA805" s="134"/>
      <c r="AB805" s="135"/>
      <c r="AF805" s="132"/>
      <c r="AG805" s="134"/>
    </row>
    <row r="806">
      <c r="A806" s="2"/>
      <c r="B806" s="91"/>
      <c r="C806" s="2"/>
      <c r="H806" s="132"/>
      <c r="J806" s="133"/>
      <c r="M806" s="132"/>
      <c r="R806" s="132"/>
      <c r="W806" s="132"/>
      <c r="Z806" s="132"/>
      <c r="AA806" s="134"/>
      <c r="AB806" s="135"/>
      <c r="AF806" s="132"/>
      <c r="AG806" s="134"/>
    </row>
    <row r="807">
      <c r="A807" s="2"/>
      <c r="B807" s="91"/>
      <c r="C807" s="2"/>
      <c r="H807" s="132"/>
      <c r="J807" s="133"/>
      <c r="M807" s="132"/>
      <c r="R807" s="132"/>
      <c r="W807" s="132"/>
      <c r="Z807" s="132"/>
      <c r="AA807" s="134"/>
      <c r="AB807" s="135"/>
      <c r="AF807" s="132"/>
      <c r="AG807" s="134"/>
    </row>
    <row r="808">
      <c r="A808" s="2"/>
      <c r="B808" s="91"/>
      <c r="C808" s="2"/>
      <c r="H808" s="132"/>
      <c r="J808" s="133"/>
      <c r="M808" s="132"/>
      <c r="R808" s="132"/>
      <c r="W808" s="132"/>
      <c r="Z808" s="132"/>
      <c r="AA808" s="134"/>
      <c r="AB808" s="135"/>
      <c r="AF808" s="132"/>
      <c r="AG808" s="134"/>
    </row>
    <row r="809">
      <c r="A809" s="2"/>
      <c r="B809" s="91"/>
      <c r="C809" s="2"/>
      <c r="H809" s="132"/>
      <c r="J809" s="133"/>
      <c r="M809" s="132"/>
      <c r="R809" s="132"/>
      <c r="W809" s="132"/>
      <c r="Z809" s="132"/>
      <c r="AA809" s="134"/>
      <c r="AB809" s="135"/>
      <c r="AF809" s="132"/>
      <c r="AG809" s="134"/>
    </row>
    <row r="810">
      <c r="A810" s="2"/>
      <c r="B810" s="91"/>
      <c r="C810" s="2"/>
      <c r="H810" s="132"/>
      <c r="J810" s="133"/>
      <c r="M810" s="132"/>
      <c r="R810" s="132"/>
      <c r="W810" s="132"/>
      <c r="Z810" s="132"/>
      <c r="AA810" s="134"/>
      <c r="AB810" s="135"/>
      <c r="AF810" s="132"/>
      <c r="AG810" s="134"/>
    </row>
    <row r="811">
      <c r="A811" s="2"/>
      <c r="B811" s="91"/>
      <c r="C811" s="2"/>
      <c r="H811" s="132"/>
      <c r="J811" s="133"/>
      <c r="M811" s="132"/>
      <c r="R811" s="132"/>
      <c r="W811" s="132"/>
      <c r="Z811" s="132"/>
      <c r="AA811" s="134"/>
      <c r="AB811" s="135"/>
      <c r="AF811" s="132"/>
      <c r="AG811" s="134"/>
    </row>
    <row r="812">
      <c r="A812" s="2"/>
      <c r="B812" s="91"/>
      <c r="C812" s="2"/>
      <c r="H812" s="132"/>
      <c r="J812" s="133"/>
      <c r="M812" s="132"/>
      <c r="R812" s="132"/>
      <c r="W812" s="132"/>
      <c r="Z812" s="132"/>
      <c r="AA812" s="134"/>
      <c r="AB812" s="135"/>
      <c r="AF812" s="132"/>
      <c r="AG812" s="134"/>
    </row>
    <row r="813">
      <c r="A813" s="2"/>
      <c r="B813" s="91"/>
      <c r="C813" s="2"/>
      <c r="H813" s="132"/>
      <c r="J813" s="133"/>
      <c r="M813" s="132"/>
      <c r="R813" s="132"/>
      <c r="W813" s="132"/>
      <c r="Z813" s="132"/>
      <c r="AA813" s="134"/>
      <c r="AB813" s="135"/>
      <c r="AF813" s="132"/>
      <c r="AG813" s="134"/>
    </row>
    <row r="814">
      <c r="A814" s="2"/>
      <c r="B814" s="91"/>
      <c r="C814" s="2"/>
      <c r="H814" s="132"/>
      <c r="J814" s="133"/>
      <c r="M814" s="132"/>
      <c r="R814" s="132"/>
      <c r="W814" s="132"/>
      <c r="Z814" s="132"/>
      <c r="AA814" s="134"/>
      <c r="AB814" s="135"/>
      <c r="AF814" s="132"/>
      <c r="AG814" s="134"/>
    </row>
    <row r="815">
      <c r="A815" s="2"/>
      <c r="B815" s="91"/>
      <c r="C815" s="2"/>
      <c r="H815" s="132"/>
      <c r="J815" s="133"/>
      <c r="M815" s="132"/>
      <c r="R815" s="132"/>
      <c r="W815" s="132"/>
      <c r="Z815" s="132"/>
      <c r="AA815" s="134"/>
      <c r="AB815" s="135"/>
      <c r="AF815" s="132"/>
      <c r="AG815" s="134"/>
    </row>
    <row r="816">
      <c r="A816" s="2"/>
      <c r="B816" s="91"/>
      <c r="C816" s="2"/>
      <c r="H816" s="132"/>
      <c r="J816" s="133"/>
      <c r="M816" s="132"/>
      <c r="R816" s="132"/>
      <c r="W816" s="132"/>
      <c r="Z816" s="132"/>
      <c r="AA816" s="134"/>
      <c r="AB816" s="135"/>
      <c r="AF816" s="132"/>
      <c r="AG816" s="134"/>
    </row>
    <row r="817">
      <c r="A817" s="2"/>
      <c r="B817" s="91"/>
      <c r="C817" s="2"/>
      <c r="H817" s="132"/>
      <c r="J817" s="133"/>
      <c r="M817" s="132"/>
      <c r="R817" s="132"/>
      <c r="W817" s="132"/>
      <c r="Z817" s="132"/>
      <c r="AA817" s="134"/>
      <c r="AB817" s="135"/>
      <c r="AF817" s="132"/>
      <c r="AG817" s="134"/>
    </row>
    <row r="818">
      <c r="A818" s="2"/>
      <c r="B818" s="91"/>
      <c r="C818" s="2"/>
      <c r="H818" s="132"/>
      <c r="J818" s="133"/>
      <c r="M818" s="132"/>
      <c r="R818" s="132"/>
      <c r="W818" s="132"/>
      <c r="Z818" s="132"/>
      <c r="AA818" s="134"/>
      <c r="AB818" s="135"/>
      <c r="AF818" s="132"/>
      <c r="AG818" s="134"/>
    </row>
    <row r="819">
      <c r="A819" s="2"/>
      <c r="B819" s="91"/>
      <c r="C819" s="2"/>
      <c r="H819" s="132"/>
      <c r="J819" s="133"/>
      <c r="M819" s="132"/>
      <c r="R819" s="132"/>
      <c r="W819" s="132"/>
      <c r="Z819" s="132"/>
      <c r="AA819" s="134"/>
      <c r="AB819" s="135"/>
      <c r="AF819" s="132"/>
      <c r="AG819" s="134"/>
    </row>
    <row r="820">
      <c r="A820" s="2"/>
      <c r="B820" s="91"/>
      <c r="C820" s="2"/>
      <c r="H820" s="132"/>
      <c r="J820" s="133"/>
      <c r="M820" s="132"/>
      <c r="R820" s="132"/>
      <c r="W820" s="132"/>
      <c r="Z820" s="132"/>
      <c r="AA820" s="134"/>
      <c r="AB820" s="135"/>
      <c r="AF820" s="132"/>
      <c r="AG820" s="134"/>
    </row>
    <row r="821">
      <c r="A821" s="2"/>
      <c r="B821" s="91"/>
      <c r="C821" s="2"/>
      <c r="H821" s="132"/>
      <c r="J821" s="133"/>
      <c r="M821" s="132"/>
      <c r="R821" s="132"/>
      <c r="W821" s="132"/>
      <c r="Z821" s="132"/>
      <c r="AA821" s="134"/>
      <c r="AB821" s="135"/>
      <c r="AF821" s="132"/>
      <c r="AG821" s="134"/>
    </row>
    <row r="822">
      <c r="A822" s="2"/>
      <c r="B822" s="91"/>
      <c r="C822" s="2"/>
      <c r="H822" s="132"/>
      <c r="J822" s="133"/>
      <c r="M822" s="132"/>
      <c r="R822" s="132"/>
      <c r="W822" s="132"/>
      <c r="Z822" s="132"/>
      <c r="AA822" s="134"/>
      <c r="AB822" s="135"/>
      <c r="AF822" s="132"/>
      <c r="AG822" s="134"/>
    </row>
    <row r="823">
      <c r="A823" s="2"/>
      <c r="B823" s="91"/>
      <c r="C823" s="2"/>
      <c r="H823" s="132"/>
      <c r="J823" s="133"/>
      <c r="M823" s="132"/>
      <c r="R823" s="132"/>
      <c r="W823" s="132"/>
      <c r="Z823" s="132"/>
      <c r="AA823" s="134"/>
      <c r="AB823" s="135"/>
      <c r="AF823" s="132"/>
      <c r="AG823" s="134"/>
    </row>
    <row r="824">
      <c r="A824" s="2"/>
      <c r="B824" s="91"/>
      <c r="C824" s="2"/>
      <c r="H824" s="132"/>
      <c r="J824" s="133"/>
      <c r="M824" s="132"/>
      <c r="R824" s="132"/>
      <c r="W824" s="132"/>
      <c r="Z824" s="132"/>
      <c r="AA824" s="134"/>
      <c r="AB824" s="135"/>
      <c r="AF824" s="132"/>
      <c r="AG824" s="134"/>
    </row>
    <row r="825">
      <c r="A825" s="2"/>
      <c r="B825" s="91"/>
      <c r="C825" s="2"/>
      <c r="H825" s="132"/>
      <c r="J825" s="133"/>
      <c r="M825" s="132"/>
      <c r="R825" s="132"/>
      <c r="W825" s="132"/>
      <c r="Z825" s="132"/>
      <c r="AA825" s="134"/>
      <c r="AB825" s="135"/>
      <c r="AF825" s="132"/>
      <c r="AG825" s="134"/>
    </row>
    <row r="826">
      <c r="A826" s="2"/>
      <c r="B826" s="91"/>
      <c r="C826" s="2"/>
      <c r="H826" s="132"/>
      <c r="J826" s="133"/>
      <c r="M826" s="132"/>
      <c r="R826" s="132"/>
      <c r="W826" s="132"/>
      <c r="Z826" s="132"/>
      <c r="AA826" s="134"/>
      <c r="AB826" s="135"/>
      <c r="AF826" s="132"/>
      <c r="AG826" s="134"/>
    </row>
    <row r="827">
      <c r="A827" s="2"/>
      <c r="B827" s="91"/>
      <c r="C827" s="2"/>
      <c r="H827" s="132"/>
      <c r="J827" s="133"/>
      <c r="M827" s="132"/>
      <c r="R827" s="132"/>
      <c r="W827" s="132"/>
      <c r="Z827" s="132"/>
      <c r="AA827" s="134"/>
      <c r="AB827" s="135"/>
      <c r="AF827" s="132"/>
      <c r="AG827" s="134"/>
    </row>
    <row r="828">
      <c r="A828" s="2"/>
      <c r="B828" s="91"/>
      <c r="C828" s="2"/>
      <c r="H828" s="132"/>
      <c r="J828" s="133"/>
      <c r="M828" s="132"/>
      <c r="R828" s="132"/>
      <c r="W828" s="132"/>
      <c r="Z828" s="132"/>
      <c r="AA828" s="134"/>
      <c r="AB828" s="135"/>
      <c r="AF828" s="132"/>
      <c r="AG828" s="134"/>
    </row>
    <row r="829">
      <c r="A829" s="2"/>
      <c r="B829" s="91"/>
      <c r="C829" s="2"/>
      <c r="H829" s="132"/>
      <c r="J829" s="133"/>
      <c r="M829" s="132"/>
      <c r="R829" s="132"/>
      <c r="W829" s="132"/>
      <c r="Z829" s="132"/>
      <c r="AA829" s="134"/>
      <c r="AB829" s="135"/>
      <c r="AF829" s="132"/>
      <c r="AG829" s="134"/>
    </row>
    <row r="830">
      <c r="A830" s="2"/>
      <c r="B830" s="91"/>
      <c r="C830" s="2"/>
      <c r="H830" s="132"/>
      <c r="J830" s="133"/>
      <c r="M830" s="132"/>
      <c r="R830" s="132"/>
      <c r="W830" s="132"/>
      <c r="Z830" s="132"/>
      <c r="AA830" s="134"/>
      <c r="AB830" s="135"/>
      <c r="AF830" s="132"/>
      <c r="AG830" s="134"/>
    </row>
    <row r="831">
      <c r="A831" s="2"/>
      <c r="B831" s="91"/>
      <c r="C831" s="2"/>
      <c r="H831" s="132"/>
      <c r="J831" s="133"/>
      <c r="M831" s="132"/>
      <c r="R831" s="132"/>
      <c r="W831" s="132"/>
      <c r="Z831" s="132"/>
      <c r="AA831" s="134"/>
      <c r="AB831" s="135"/>
      <c r="AF831" s="132"/>
      <c r="AG831" s="134"/>
    </row>
    <row r="832">
      <c r="A832" s="2"/>
      <c r="B832" s="91"/>
      <c r="C832" s="2"/>
      <c r="H832" s="132"/>
      <c r="J832" s="133"/>
      <c r="M832" s="132"/>
      <c r="R832" s="132"/>
      <c r="W832" s="132"/>
      <c r="Z832" s="132"/>
      <c r="AA832" s="134"/>
      <c r="AB832" s="135"/>
      <c r="AF832" s="132"/>
      <c r="AG832" s="134"/>
    </row>
    <row r="833">
      <c r="A833" s="2"/>
      <c r="B833" s="91"/>
      <c r="C833" s="2"/>
      <c r="H833" s="132"/>
      <c r="J833" s="133"/>
      <c r="M833" s="132"/>
      <c r="R833" s="132"/>
      <c r="W833" s="132"/>
      <c r="Z833" s="132"/>
      <c r="AA833" s="134"/>
      <c r="AB833" s="135"/>
      <c r="AF833" s="132"/>
      <c r="AG833" s="134"/>
    </row>
    <row r="834">
      <c r="A834" s="2"/>
      <c r="B834" s="91"/>
      <c r="C834" s="2"/>
      <c r="H834" s="132"/>
      <c r="J834" s="133"/>
      <c r="M834" s="132"/>
      <c r="R834" s="132"/>
      <c r="W834" s="132"/>
      <c r="Z834" s="132"/>
      <c r="AA834" s="134"/>
      <c r="AB834" s="135"/>
      <c r="AF834" s="132"/>
      <c r="AG834" s="134"/>
    </row>
    <row r="835">
      <c r="A835" s="2"/>
      <c r="B835" s="91"/>
      <c r="C835" s="2"/>
      <c r="H835" s="132"/>
      <c r="J835" s="133"/>
      <c r="M835" s="132"/>
      <c r="R835" s="132"/>
      <c r="W835" s="132"/>
      <c r="Z835" s="132"/>
      <c r="AA835" s="134"/>
      <c r="AB835" s="135"/>
      <c r="AF835" s="132"/>
      <c r="AG835" s="134"/>
    </row>
    <row r="836">
      <c r="A836" s="2"/>
      <c r="B836" s="91"/>
      <c r="C836" s="2"/>
      <c r="H836" s="132"/>
      <c r="J836" s="133"/>
      <c r="M836" s="132"/>
      <c r="R836" s="132"/>
      <c r="W836" s="132"/>
      <c r="Z836" s="132"/>
      <c r="AA836" s="134"/>
      <c r="AB836" s="135"/>
      <c r="AF836" s="132"/>
      <c r="AG836" s="134"/>
    </row>
    <row r="837">
      <c r="A837" s="2"/>
      <c r="B837" s="91"/>
      <c r="C837" s="2"/>
      <c r="H837" s="132"/>
      <c r="J837" s="133"/>
      <c r="M837" s="132"/>
      <c r="R837" s="132"/>
      <c r="W837" s="132"/>
      <c r="Z837" s="132"/>
      <c r="AA837" s="134"/>
      <c r="AB837" s="135"/>
      <c r="AF837" s="132"/>
      <c r="AG837" s="134"/>
    </row>
    <row r="838">
      <c r="A838" s="2"/>
      <c r="B838" s="91"/>
      <c r="C838" s="2"/>
      <c r="H838" s="132"/>
      <c r="J838" s="133"/>
      <c r="M838" s="132"/>
      <c r="R838" s="132"/>
      <c r="W838" s="132"/>
      <c r="Z838" s="132"/>
      <c r="AA838" s="134"/>
      <c r="AB838" s="135"/>
      <c r="AF838" s="132"/>
      <c r="AG838" s="134"/>
    </row>
    <row r="839">
      <c r="A839" s="2"/>
      <c r="B839" s="91"/>
      <c r="C839" s="2"/>
      <c r="H839" s="132"/>
      <c r="J839" s="133"/>
      <c r="M839" s="132"/>
      <c r="R839" s="132"/>
      <c r="W839" s="132"/>
      <c r="Z839" s="132"/>
      <c r="AA839" s="134"/>
      <c r="AB839" s="135"/>
      <c r="AF839" s="132"/>
      <c r="AG839" s="134"/>
    </row>
    <row r="840">
      <c r="A840" s="2"/>
      <c r="B840" s="91"/>
      <c r="C840" s="2"/>
      <c r="H840" s="132"/>
      <c r="J840" s="133"/>
      <c r="M840" s="132"/>
      <c r="R840" s="132"/>
      <c r="W840" s="132"/>
      <c r="Z840" s="132"/>
      <c r="AA840" s="134"/>
      <c r="AB840" s="135"/>
      <c r="AF840" s="132"/>
      <c r="AG840" s="134"/>
    </row>
    <row r="841">
      <c r="A841" s="2"/>
      <c r="B841" s="91"/>
      <c r="C841" s="2"/>
      <c r="H841" s="132"/>
      <c r="J841" s="133"/>
      <c r="M841" s="132"/>
      <c r="R841" s="132"/>
      <c r="W841" s="132"/>
      <c r="Z841" s="132"/>
      <c r="AA841" s="134"/>
      <c r="AB841" s="135"/>
      <c r="AF841" s="132"/>
      <c r="AG841" s="134"/>
    </row>
    <row r="842">
      <c r="A842" s="2"/>
      <c r="B842" s="91"/>
      <c r="C842" s="2"/>
      <c r="H842" s="132"/>
      <c r="J842" s="133"/>
      <c r="M842" s="132"/>
      <c r="R842" s="132"/>
      <c r="W842" s="132"/>
      <c r="Z842" s="132"/>
      <c r="AA842" s="134"/>
      <c r="AB842" s="135"/>
      <c r="AF842" s="132"/>
      <c r="AG842" s="134"/>
    </row>
    <row r="843">
      <c r="A843" s="2"/>
      <c r="B843" s="91"/>
      <c r="C843" s="2"/>
      <c r="H843" s="132"/>
      <c r="J843" s="133"/>
      <c r="M843" s="132"/>
      <c r="R843" s="132"/>
      <c r="W843" s="132"/>
      <c r="Z843" s="132"/>
      <c r="AA843" s="134"/>
      <c r="AB843" s="135"/>
      <c r="AF843" s="132"/>
      <c r="AG843" s="134"/>
    </row>
    <row r="844">
      <c r="A844" s="2"/>
      <c r="B844" s="91"/>
      <c r="C844" s="2"/>
      <c r="H844" s="132"/>
      <c r="J844" s="133"/>
      <c r="M844" s="132"/>
      <c r="R844" s="132"/>
      <c r="W844" s="132"/>
      <c r="Z844" s="132"/>
      <c r="AA844" s="134"/>
      <c r="AB844" s="135"/>
      <c r="AF844" s="132"/>
      <c r="AG844" s="134"/>
    </row>
    <row r="845">
      <c r="A845" s="2"/>
      <c r="B845" s="91"/>
      <c r="C845" s="2"/>
      <c r="H845" s="132"/>
      <c r="J845" s="133"/>
      <c r="M845" s="132"/>
      <c r="R845" s="132"/>
      <c r="W845" s="132"/>
      <c r="Z845" s="132"/>
      <c r="AA845" s="134"/>
      <c r="AB845" s="135"/>
      <c r="AF845" s="132"/>
      <c r="AG845" s="134"/>
    </row>
    <row r="846">
      <c r="A846" s="2"/>
      <c r="B846" s="91"/>
      <c r="C846" s="2"/>
      <c r="H846" s="132"/>
      <c r="J846" s="133"/>
      <c r="M846" s="132"/>
      <c r="R846" s="132"/>
      <c r="W846" s="132"/>
      <c r="Z846" s="132"/>
      <c r="AA846" s="134"/>
      <c r="AB846" s="135"/>
      <c r="AF846" s="132"/>
      <c r="AG846" s="134"/>
    </row>
    <row r="847">
      <c r="A847" s="2"/>
      <c r="B847" s="91"/>
      <c r="C847" s="2"/>
      <c r="H847" s="132"/>
      <c r="J847" s="133"/>
      <c r="M847" s="132"/>
      <c r="R847" s="132"/>
      <c r="W847" s="132"/>
      <c r="Z847" s="132"/>
      <c r="AA847" s="134"/>
      <c r="AB847" s="135"/>
      <c r="AF847" s="132"/>
      <c r="AG847" s="134"/>
    </row>
    <row r="848">
      <c r="A848" s="2"/>
      <c r="B848" s="91"/>
      <c r="C848" s="2"/>
      <c r="H848" s="132"/>
      <c r="J848" s="133"/>
      <c r="M848" s="132"/>
      <c r="R848" s="132"/>
      <c r="W848" s="132"/>
      <c r="Z848" s="132"/>
      <c r="AA848" s="134"/>
      <c r="AB848" s="135"/>
      <c r="AF848" s="132"/>
      <c r="AG848" s="134"/>
    </row>
    <row r="849">
      <c r="A849" s="2"/>
      <c r="B849" s="91"/>
      <c r="C849" s="2"/>
      <c r="H849" s="132"/>
      <c r="J849" s="133"/>
      <c r="M849" s="132"/>
      <c r="R849" s="132"/>
      <c r="W849" s="132"/>
      <c r="Z849" s="132"/>
      <c r="AA849" s="134"/>
      <c r="AB849" s="135"/>
      <c r="AF849" s="132"/>
      <c r="AG849" s="134"/>
    </row>
    <row r="850">
      <c r="A850" s="2"/>
      <c r="B850" s="91"/>
      <c r="C850" s="2"/>
      <c r="H850" s="132"/>
      <c r="J850" s="133"/>
      <c r="M850" s="132"/>
      <c r="R850" s="132"/>
      <c r="W850" s="132"/>
      <c r="Z850" s="132"/>
      <c r="AA850" s="134"/>
      <c r="AB850" s="135"/>
      <c r="AF850" s="132"/>
      <c r="AG850" s="134"/>
    </row>
    <row r="851">
      <c r="A851" s="2"/>
      <c r="B851" s="91"/>
      <c r="C851" s="2"/>
      <c r="H851" s="132"/>
      <c r="J851" s="133"/>
      <c r="M851" s="132"/>
      <c r="R851" s="132"/>
      <c r="W851" s="132"/>
      <c r="Z851" s="132"/>
      <c r="AA851" s="134"/>
      <c r="AB851" s="135"/>
      <c r="AF851" s="132"/>
      <c r="AG851" s="134"/>
    </row>
    <row r="852">
      <c r="A852" s="2"/>
      <c r="B852" s="91"/>
      <c r="C852" s="2"/>
      <c r="H852" s="132"/>
      <c r="J852" s="133"/>
      <c r="M852" s="132"/>
      <c r="R852" s="132"/>
      <c r="W852" s="132"/>
      <c r="Z852" s="132"/>
      <c r="AA852" s="134"/>
      <c r="AB852" s="135"/>
      <c r="AF852" s="132"/>
      <c r="AG852" s="134"/>
    </row>
    <row r="853">
      <c r="A853" s="2"/>
      <c r="B853" s="91"/>
      <c r="C853" s="2"/>
      <c r="H853" s="132"/>
      <c r="J853" s="133"/>
      <c r="M853" s="132"/>
      <c r="R853" s="132"/>
      <c r="W853" s="132"/>
      <c r="Z853" s="132"/>
      <c r="AA853" s="134"/>
      <c r="AB853" s="135"/>
      <c r="AF853" s="132"/>
      <c r="AG853" s="134"/>
    </row>
    <row r="854">
      <c r="A854" s="2"/>
      <c r="B854" s="91"/>
      <c r="C854" s="2"/>
      <c r="H854" s="132"/>
      <c r="J854" s="133"/>
      <c r="M854" s="132"/>
      <c r="R854" s="132"/>
      <c r="W854" s="132"/>
      <c r="Z854" s="132"/>
      <c r="AA854" s="134"/>
      <c r="AB854" s="135"/>
      <c r="AF854" s="132"/>
      <c r="AG854" s="134"/>
    </row>
    <row r="855">
      <c r="A855" s="2"/>
      <c r="B855" s="91"/>
      <c r="C855" s="2"/>
      <c r="H855" s="132"/>
      <c r="J855" s="133"/>
      <c r="M855" s="132"/>
      <c r="R855" s="132"/>
      <c r="W855" s="132"/>
      <c r="Z855" s="132"/>
      <c r="AA855" s="134"/>
      <c r="AB855" s="135"/>
      <c r="AF855" s="132"/>
      <c r="AG855" s="134"/>
    </row>
    <row r="856">
      <c r="A856" s="2"/>
      <c r="B856" s="91"/>
      <c r="C856" s="2"/>
      <c r="H856" s="132"/>
      <c r="J856" s="133"/>
      <c r="M856" s="132"/>
      <c r="R856" s="132"/>
      <c r="W856" s="132"/>
      <c r="Z856" s="132"/>
      <c r="AA856" s="134"/>
      <c r="AB856" s="135"/>
      <c r="AF856" s="132"/>
      <c r="AG856" s="134"/>
    </row>
    <row r="857">
      <c r="A857" s="2"/>
      <c r="B857" s="91"/>
      <c r="C857" s="2"/>
      <c r="H857" s="132"/>
      <c r="J857" s="133"/>
      <c r="M857" s="132"/>
      <c r="R857" s="132"/>
      <c r="W857" s="132"/>
      <c r="Z857" s="132"/>
      <c r="AA857" s="134"/>
      <c r="AB857" s="135"/>
      <c r="AF857" s="132"/>
      <c r="AG857" s="134"/>
    </row>
    <row r="858">
      <c r="A858" s="2"/>
      <c r="B858" s="91"/>
      <c r="C858" s="2"/>
      <c r="H858" s="132"/>
      <c r="J858" s="133"/>
      <c r="M858" s="132"/>
      <c r="R858" s="132"/>
      <c r="W858" s="132"/>
      <c r="Z858" s="132"/>
      <c r="AA858" s="134"/>
      <c r="AB858" s="135"/>
      <c r="AF858" s="132"/>
      <c r="AG858" s="134"/>
    </row>
    <row r="859">
      <c r="A859" s="2"/>
      <c r="B859" s="91"/>
      <c r="C859" s="2"/>
      <c r="H859" s="132"/>
      <c r="J859" s="133"/>
      <c r="M859" s="132"/>
      <c r="R859" s="132"/>
      <c r="W859" s="132"/>
      <c r="Z859" s="132"/>
      <c r="AA859" s="134"/>
      <c r="AB859" s="135"/>
      <c r="AF859" s="132"/>
      <c r="AG859" s="134"/>
    </row>
    <row r="860">
      <c r="A860" s="2"/>
      <c r="B860" s="91"/>
      <c r="C860" s="2"/>
      <c r="H860" s="132"/>
      <c r="J860" s="133"/>
      <c r="M860" s="132"/>
      <c r="R860" s="132"/>
      <c r="W860" s="132"/>
      <c r="Z860" s="132"/>
      <c r="AA860" s="134"/>
      <c r="AB860" s="135"/>
      <c r="AF860" s="132"/>
      <c r="AG860" s="134"/>
    </row>
    <row r="861">
      <c r="A861" s="2"/>
      <c r="B861" s="91"/>
      <c r="C861" s="2"/>
      <c r="H861" s="132"/>
      <c r="J861" s="133"/>
      <c r="M861" s="132"/>
      <c r="R861" s="132"/>
      <c r="W861" s="132"/>
      <c r="Z861" s="132"/>
      <c r="AA861" s="134"/>
      <c r="AB861" s="135"/>
      <c r="AF861" s="132"/>
      <c r="AG861" s="134"/>
    </row>
    <row r="862">
      <c r="A862" s="2"/>
      <c r="B862" s="91"/>
      <c r="C862" s="2"/>
      <c r="H862" s="132"/>
      <c r="J862" s="133"/>
      <c r="M862" s="132"/>
      <c r="R862" s="132"/>
      <c r="W862" s="132"/>
      <c r="Z862" s="132"/>
      <c r="AA862" s="134"/>
      <c r="AB862" s="135"/>
      <c r="AF862" s="132"/>
      <c r="AG862" s="134"/>
    </row>
    <row r="863">
      <c r="A863" s="2"/>
      <c r="B863" s="91"/>
      <c r="C863" s="2"/>
      <c r="H863" s="132"/>
      <c r="J863" s="133"/>
      <c r="M863" s="132"/>
      <c r="R863" s="132"/>
      <c r="W863" s="132"/>
      <c r="Z863" s="132"/>
      <c r="AA863" s="134"/>
      <c r="AB863" s="135"/>
      <c r="AF863" s="132"/>
      <c r="AG863" s="134"/>
    </row>
    <row r="864">
      <c r="A864" s="2"/>
      <c r="B864" s="91"/>
      <c r="C864" s="2"/>
      <c r="H864" s="132"/>
      <c r="J864" s="133"/>
      <c r="M864" s="132"/>
      <c r="R864" s="132"/>
      <c r="W864" s="132"/>
      <c r="Z864" s="132"/>
      <c r="AA864" s="134"/>
      <c r="AB864" s="135"/>
      <c r="AF864" s="132"/>
      <c r="AG864" s="134"/>
    </row>
    <row r="865">
      <c r="A865" s="2"/>
      <c r="B865" s="91"/>
      <c r="C865" s="2"/>
      <c r="H865" s="132"/>
      <c r="J865" s="133"/>
      <c r="M865" s="132"/>
      <c r="R865" s="132"/>
      <c r="W865" s="132"/>
      <c r="Z865" s="132"/>
      <c r="AA865" s="134"/>
      <c r="AB865" s="135"/>
      <c r="AF865" s="132"/>
      <c r="AG865" s="134"/>
    </row>
    <row r="866">
      <c r="A866" s="2"/>
      <c r="B866" s="91"/>
      <c r="C866" s="2"/>
      <c r="H866" s="132"/>
      <c r="J866" s="133"/>
      <c r="M866" s="132"/>
      <c r="R866" s="132"/>
      <c r="W866" s="132"/>
      <c r="Z866" s="132"/>
      <c r="AA866" s="134"/>
      <c r="AB866" s="135"/>
      <c r="AF866" s="132"/>
      <c r="AG866" s="134"/>
    </row>
    <row r="867">
      <c r="A867" s="2"/>
      <c r="B867" s="91"/>
      <c r="C867" s="2"/>
      <c r="H867" s="132"/>
      <c r="J867" s="133"/>
      <c r="M867" s="132"/>
      <c r="R867" s="132"/>
      <c r="W867" s="132"/>
      <c r="Z867" s="132"/>
      <c r="AA867" s="134"/>
      <c r="AB867" s="135"/>
      <c r="AF867" s="132"/>
      <c r="AG867" s="134"/>
    </row>
    <row r="868">
      <c r="A868" s="2"/>
      <c r="B868" s="91"/>
      <c r="C868" s="2"/>
      <c r="H868" s="132"/>
      <c r="J868" s="133"/>
      <c r="M868" s="132"/>
      <c r="R868" s="132"/>
      <c r="W868" s="132"/>
      <c r="Z868" s="132"/>
      <c r="AA868" s="134"/>
      <c r="AB868" s="135"/>
      <c r="AF868" s="132"/>
      <c r="AG868" s="134"/>
    </row>
    <row r="869">
      <c r="A869" s="2"/>
      <c r="B869" s="91"/>
      <c r="C869" s="2"/>
      <c r="H869" s="132"/>
      <c r="J869" s="133"/>
      <c r="M869" s="132"/>
      <c r="R869" s="132"/>
      <c r="W869" s="132"/>
      <c r="Z869" s="132"/>
      <c r="AA869" s="134"/>
      <c r="AB869" s="135"/>
      <c r="AF869" s="132"/>
      <c r="AG869" s="134"/>
    </row>
    <row r="870">
      <c r="A870" s="2"/>
      <c r="B870" s="91"/>
      <c r="C870" s="2"/>
      <c r="H870" s="132"/>
      <c r="J870" s="133"/>
      <c r="M870" s="132"/>
      <c r="R870" s="132"/>
      <c r="W870" s="132"/>
      <c r="Z870" s="132"/>
      <c r="AA870" s="134"/>
      <c r="AB870" s="135"/>
      <c r="AF870" s="132"/>
      <c r="AG870" s="134"/>
    </row>
    <row r="871">
      <c r="A871" s="2"/>
      <c r="B871" s="91"/>
      <c r="C871" s="2"/>
      <c r="H871" s="132"/>
      <c r="J871" s="133"/>
      <c r="M871" s="132"/>
      <c r="R871" s="132"/>
      <c r="W871" s="132"/>
      <c r="Z871" s="132"/>
      <c r="AA871" s="134"/>
      <c r="AB871" s="135"/>
      <c r="AF871" s="132"/>
      <c r="AG871" s="134"/>
    </row>
    <row r="872">
      <c r="A872" s="2"/>
      <c r="B872" s="91"/>
      <c r="C872" s="2"/>
      <c r="H872" s="132"/>
      <c r="J872" s="133"/>
      <c r="M872" s="132"/>
      <c r="R872" s="132"/>
      <c r="W872" s="132"/>
      <c r="Z872" s="132"/>
      <c r="AA872" s="134"/>
      <c r="AB872" s="135"/>
      <c r="AF872" s="132"/>
      <c r="AG872" s="134"/>
    </row>
    <row r="873">
      <c r="A873" s="2"/>
      <c r="B873" s="91"/>
      <c r="C873" s="2"/>
      <c r="H873" s="132"/>
      <c r="J873" s="133"/>
      <c r="M873" s="132"/>
      <c r="R873" s="132"/>
      <c r="W873" s="132"/>
      <c r="Z873" s="132"/>
      <c r="AA873" s="134"/>
      <c r="AB873" s="135"/>
      <c r="AF873" s="132"/>
      <c r="AG873" s="134"/>
    </row>
    <row r="874">
      <c r="A874" s="2"/>
      <c r="B874" s="91"/>
      <c r="C874" s="2"/>
      <c r="H874" s="132"/>
      <c r="J874" s="133"/>
      <c r="M874" s="132"/>
      <c r="R874" s="132"/>
      <c r="W874" s="132"/>
      <c r="Z874" s="132"/>
      <c r="AA874" s="134"/>
      <c r="AB874" s="135"/>
      <c r="AF874" s="132"/>
      <c r="AG874" s="134"/>
    </row>
    <row r="875">
      <c r="A875" s="2"/>
      <c r="B875" s="91"/>
      <c r="C875" s="2"/>
      <c r="H875" s="132"/>
      <c r="J875" s="133"/>
      <c r="M875" s="132"/>
      <c r="R875" s="132"/>
      <c r="W875" s="132"/>
      <c r="Z875" s="132"/>
      <c r="AA875" s="134"/>
      <c r="AB875" s="135"/>
      <c r="AF875" s="132"/>
      <c r="AG875" s="134"/>
    </row>
    <row r="876">
      <c r="A876" s="2"/>
      <c r="B876" s="91"/>
      <c r="C876" s="2"/>
      <c r="H876" s="132"/>
      <c r="J876" s="133"/>
      <c r="M876" s="132"/>
      <c r="R876" s="132"/>
      <c r="W876" s="132"/>
      <c r="Z876" s="132"/>
      <c r="AA876" s="134"/>
      <c r="AB876" s="135"/>
      <c r="AF876" s="132"/>
      <c r="AG876" s="134"/>
    </row>
    <row r="877">
      <c r="A877" s="2"/>
      <c r="B877" s="91"/>
      <c r="C877" s="2"/>
      <c r="H877" s="132"/>
      <c r="J877" s="133"/>
      <c r="M877" s="132"/>
      <c r="R877" s="132"/>
      <c r="W877" s="132"/>
      <c r="Z877" s="132"/>
      <c r="AA877" s="134"/>
      <c r="AB877" s="135"/>
      <c r="AF877" s="132"/>
      <c r="AG877" s="134"/>
    </row>
    <row r="878">
      <c r="A878" s="2"/>
      <c r="B878" s="91"/>
      <c r="C878" s="2"/>
      <c r="H878" s="132"/>
      <c r="J878" s="133"/>
      <c r="M878" s="132"/>
      <c r="R878" s="132"/>
      <c r="W878" s="132"/>
      <c r="Z878" s="132"/>
      <c r="AA878" s="134"/>
      <c r="AB878" s="135"/>
      <c r="AF878" s="132"/>
      <c r="AG878" s="134"/>
    </row>
    <row r="879">
      <c r="A879" s="2"/>
      <c r="B879" s="91"/>
      <c r="C879" s="2"/>
      <c r="H879" s="132"/>
      <c r="J879" s="133"/>
      <c r="M879" s="132"/>
      <c r="R879" s="132"/>
      <c r="W879" s="132"/>
      <c r="Z879" s="132"/>
      <c r="AA879" s="134"/>
      <c r="AB879" s="135"/>
      <c r="AF879" s="132"/>
      <c r="AG879" s="134"/>
    </row>
    <row r="880">
      <c r="A880" s="2"/>
      <c r="B880" s="91"/>
      <c r="C880" s="2"/>
      <c r="H880" s="132"/>
      <c r="J880" s="133"/>
      <c r="M880" s="132"/>
      <c r="R880" s="132"/>
      <c r="W880" s="132"/>
      <c r="Z880" s="132"/>
      <c r="AA880" s="134"/>
      <c r="AB880" s="135"/>
      <c r="AF880" s="132"/>
      <c r="AG880" s="134"/>
    </row>
    <row r="881">
      <c r="A881" s="2"/>
      <c r="B881" s="91"/>
      <c r="C881" s="2"/>
      <c r="H881" s="132"/>
      <c r="J881" s="133"/>
      <c r="M881" s="132"/>
      <c r="R881" s="132"/>
      <c r="W881" s="132"/>
      <c r="Z881" s="132"/>
      <c r="AA881" s="134"/>
      <c r="AB881" s="135"/>
      <c r="AF881" s="132"/>
      <c r="AG881" s="134"/>
    </row>
    <row r="882">
      <c r="A882" s="2"/>
      <c r="B882" s="91"/>
      <c r="C882" s="2"/>
      <c r="H882" s="132"/>
      <c r="J882" s="133"/>
      <c r="M882" s="132"/>
      <c r="R882" s="132"/>
      <c r="W882" s="132"/>
      <c r="Z882" s="132"/>
      <c r="AA882" s="134"/>
      <c r="AB882" s="135"/>
      <c r="AF882" s="132"/>
      <c r="AG882" s="134"/>
    </row>
    <row r="883">
      <c r="A883" s="2"/>
      <c r="B883" s="91"/>
      <c r="C883" s="2"/>
      <c r="H883" s="132"/>
      <c r="J883" s="133"/>
      <c r="M883" s="132"/>
      <c r="R883" s="132"/>
      <c r="W883" s="132"/>
      <c r="Z883" s="132"/>
      <c r="AA883" s="134"/>
      <c r="AB883" s="135"/>
      <c r="AF883" s="132"/>
      <c r="AG883" s="134"/>
    </row>
    <row r="884">
      <c r="A884" s="2"/>
      <c r="B884" s="91"/>
      <c r="C884" s="2"/>
      <c r="H884" s="132"/>
      <c r="J884" s="133"/>
      <c r="M884" s="132"/>
      <c r="R884" s="132"/>
      <c r="W884" s="132"/>
      <c r="Z884" s="132"/>
      <c r="AA884" s="134"/>
      <c r="AB884" s="135"/>
      <c r="AF884" s="132"/>
      <c r="AG884" s="134"/>
    </row>
    <row r="885">
      <c r="A885" s="2"/>
      <c r="B885" s="91"/>
      <c r="C885" s="2"/>
      <c r="H885" s="132"/>
      <c r="J885" s="133"/>
      <c r="M885" s="132"/>
      <c r="R885" s="132"/>
      <c r="W885" s="132"/>
      <c r="Z885" s="132"/>
      <c r="AA885" s="134"/>
      <c r="AB885" s="135"/>
      <c r="AF885" s="132"/>
      <c r="AG885" s="134"/>
    </row>
    <row r="886">
      <c r="A886" s="2"/>
      <c r="B886" s="91"/>
      <c r="C886" s="2"/>
      <c r="H886" s="132"/>
      <c r="J886" s="133"/>
      <c r="M886" s="132"/>
      <c r="R886" s="132"/>
      <c r="W886" s="132"/>
      <c r="Z886" s="132"/>
      <c r="AA886" s="134"/>
      <c r="AB886" s="135"/>
      <c r="AF886" s="132"/>
      <c r="AG886" s="134"/>
    </row>
    <row r="887">
      <c r="A887" s="2"/>
      <c r="B887" s="91"/>
      <c r="C887" s="2"/>
      <c r="H887" s="132"/>
      <c r="J887" s="133"/>
      <c r="M887" s="132"/>
      <c r="R887" s="132"/>
      <c r="W887" s="132"/>
      <c r="Z887" s="132"/>
      <c r="AA887" s="134"/>
      <c r="AB887" s="135"/>
      <c r="AF887" s="132"/>
      <c r="AG887" s="134"/>
    </row>
    <row r="888">
      <c r="A888" s="2"/>
      <c r="B888" s="91"/>
      <c r="C888" s="2"/>
      <c r="H888" s="132"/>
      <c r="J888" s="133"/>
      <c r="M888" s="132"/>
      <c r="R888" s="132"/>
      <c r="W888" s="132"/>
      <c r="Z888" s="132"/>
      <c r="AA888" s="134"/>
      <c r="AB888" s="135"/>
      <c r="AF888" s="132"/>
      <c r="AG888" s="134"/>
    </row>
    <row r="889">
      <c r="A889" s="2"/>
      <c r="B889" s="91"/>
      <c r="C889" s="2"/>
      <c r="H889" s="132"/>
      <c r="J889" s="133"/>
      <c r="M889" s="132"/>
      <c r="R889" s="132"/>
      <c r="W889" s="132"/>
      <c r="Z889" s="132"/>
      <c r="AA889" s="134"/>
      <c r="AB889" s="135"/>
      <c r="AF889" s="132"/>
      <c r="AG889" s="134"/>
    </row>
    <row r="890">
      <c r="A890" s="2"/>
      <c r="B890" s="91"/>
      <c r="C890" s="2"/>
      <c r="H890" s="132"/>
      <c r="J890" s="133"/>
      <c r="M890" s="132"/>
      <c r="R890" s="132"/>
      <c r="W890" s="132"/>
      <c r="Z890" s="132"/>
      <c r="AA890" s="134"/>
      <c r="AB890" s="135"/>
      <c r="AF890" s="132"/>
      <c r="AG890" s="134"/>
    </row>
    <row r="891">
      <c r="A891" s="2"/>
      <c r="B891" s="91"/>
      <c r="C891" s="2"/>
      <c r="H891" s="132"/>
      <c r="J891" s="133"/>
      <c r="M891" s="132"/>
      <c r="R891" s="132"/>
      <c r="W891" s="132"/>
      <c r="Z891" s="132"/>
      <c r="AA891" s="134"/>
      <c r="AB891" s="135"/>
      <c r="AF891" s="132"/>
      <c r="AG891" s="134"/>
    </row>
    <row r="892">
      <c r="A892" s="2"/>
      <c r="B892" s="91"/>
      <c r="C892" s="2"/>
      <c r="H892" s="132"/>
      <c r="J892" s="133"/>
      <c r="M892" s="132"/>
      <c r="R892" s="132"/>
      <c r="W892" s="132"/>
      <c r="Z892" s="132"/>
      <c r="AA892" s="134"/>
      <c r="AB892" s="135"/>
      <c r="AF892" s="132"/>
      <c r="AG892" s="134"/>
    </row>
    <row r="893">
      <c r="A893" s="2"/>
      <c r="B893" s="91"/>
      <c r="C893" s="2"/>
      <c r="H893" s="132"/>
      <c r="J893" s="133"/>
      <c r="M893" s="132"/>
      <c r="R893" s="132"/>
      <c r="W893" s="132"/>
      <c r="Z893" s="132"/>
      <c r="AA893" s="134"/>
      <c r="AB893" s="135"/>
      <c r="AF893" s="132"/>
      <c r="AG893" s="134"/>
    </row>
    <row r="894">
      <c r="A894" s="2"/>
      <c r="B894" s="91"/>
      <c r="C894" s="2"/>
      <c r="H894" s="132"/>
      <c r="J894" s="133"/>
      <c r="M894" s="132"/>
      <c r="R894" s="132"/>
      <c r="W894" s="132"/>
      <c r="Z894" s="132"/>
      <c r="AA894" s="134"/>
      <c r="AB894" s="135"/>
      <c r="AF894" s="132"/>
      <c r="AG894" s="134"/>
    </row>
    <row r="895">
      <c r="A895" s="2"/>
      <c r="B895" s="91"/>
      <c r="C895" s="2"/>
      <c r="H895" s="132"/>
      <c r="J895" s="133"/>
      <c r="M895" s="132"/>
      <c r="R895" s="132"/>
      <c r="W895" s="132"/>
      <c r="Z895" s="132"/>
      <c r="AA895" s="134"/>
      <c r="AB895" s="135"/>
      <c r="AF895" s="132"/>
      <c r="AG895" s="134"/>
    </row>
    <row r="896">
      <c r="A896" s="2"/>
      <c r="B896" s="91"/>
      <c r="C896" s="2"/>
      <c r="H896" s="132"/>
      <c r="J896" s="133"/>
      <c r="M896" s="132"/>
      <c r="R896" s="132"/>
      <c r="W896" s="132"/>
      <c r="Z896" s="132"/>
      <c r="AA896" s="134"/>
      <c r="AB896" s="135"/>
      <c r="AF896" s="132"/>
      <c r="AG896" s="134"/>
    </row>
    <row r="897">
      <c r="A897" s="2"/>
      <c r="B897" s="91"/>
      <c r="C897" s="2"/>
      <c r="H897" s="132"/>
      <c r="J897" s="133"/>
      <c r="M897" s="132"/>
      <c r="R897" s="132"/>
      <c r="W897" s="132"/>
      <c r="Z897" s="132"/>
      <c r="AA897" s="134"/>
      <c r="AB897" s="135"/>
      <c r="AF897" s="132"/>
      <c r="AG897" s="134"/>
    </row>
    <row r="898">
      <c r="A898" s="2"/>
      <c r="B898" s="91"/>
      <c r="C898" s="2"/>
      <c r="H898" s="132"/>
      <c r="J898" s="133"/>
      <c r="M898" s="132"/>
      <c r="R898" s="132"/>
      <c r="W898" s="132"/>
      <c r="Z898" s="132"/>
      <c r="AA898" s="134"/>
      <c r="AB898" s="135"/>
      <c r="AF898" s="132"/>
      <c r="AG898" s="134"/>
    </row>
    <row r="899">
      <c r="A899" s="2"/>
      <c r="B899" s="91"/>
      <c r="C899" s="2"/>
      <c r="H899" s="132"/>
      <c r="J899" s="133"/>
      <c r="M899" s="132"/>
      <c r="R899" s="132"/>
      <c r="W899" s="132"/>
      <c r="Z899" s="132"/>
      <c r="AA899" s="134"/>
      <c r="AB899" s="135"/>
      <c r="AF899" s="132"/>
      <c r="AG899" s="134"/>
    </row>
    <row r="900">
      <c r="A900" s="2"/>
      <c r="B900" s="91"/>
      <c r="C900" s="2"/>
      <c r="H900" s="132"/>
      <c r="J900" s="133"/>
      <c r="M900" s="132"/>
      <c r="R900" s="132"/>
      <c r="W900" s="132"/>
      <c r="Z900" s="132"/>
      <c r="AA900" s="134"/>
      <c r="AB900" s="135"/>
      <c r="AF900" s="132"/>
      <c r="AG900" s="134"/>
    </row>
    <row r="901">
      <c r="A901" s="2"/>
      <c r="B901" s="91"/>
      <c r="C901" s="2"/>
      <c r="H901" s="132"/>
      <c r="J901" s="133"/>
      <c r="M901" s="132"/>
      <c r="R901" s="132"/>
      <c r="W901" s="132"/>
      <c r="Z901" s="132"/>
      <c r="AA901" s="134"/>
      <c r="AB901" s="135"/>
      <c r="AF901" s="132"/>
      <c r="AG901" s="134"/>
    </row>
    <row r="902">
      <c r="A902" s="2"/>
      <c r="B902" s="91"/>
      <c r="C902" s="2"/>
      <c r="H902" s="132"/>
      <c r="J902" s="133"/>
      <c r="M902" s="132"/>
      <c r="R902" s="132"/>
      <c r="W902" s="132"/>
      <c r="Z902" s="132"/>
      <c r="AA902" s="134"/>
      <c r="AB902" s="135"/>
      <c r="AF902" s="132"/>
      <c r="AG902" s="134"/>
    </row>
    <row r="903">
      <c r="A903" s="2"/>
      <c r="B903" s="91"/>
      <c r="C903" s="2"/>
      <c r="H903" s="132"/>
      <c r="J903" s="133"/>
      <c r="M903" s="132"/>
      <c r="R903" s="132"/>
      <c r="W903" s="132"/>
      <c r="Z903" s="132"/>
      <c r="AA903" s="134"/>
      <c r="AB903" s="135"/>
      <c r="AF903" s="132"/>
      <c r="AG903" s="134"/>
    </row>
    <row r="904">
      <c r="A904" s="2"/>
      <c r="B904" s="91"/>
      <c r="C904" s="2"/>
      <c r="H904" s="132"/>
      <c r="J904" s="133"/>
      <c r="M904" s="132"/>
      <c r="R904" s="132"/>
      <c r="W904" s="132"/>
      <c r="Z904" s="132"/>
      <c r="AA904" s="134"/>
      <c r="AB904" s="135"/>
      <c r="AF904" s="132"/>
      <c r="AG904" s="134"/>
    </row>
    <row r="905">
      <c r="A905" s="2"/>
      <c r="B905" s="91"/>
      <c r="C905" s="2"/>
      <c r="H905" s="132"/>
      <c r="J905" s="133"/>
      <c r="M905" s="132"/>
      <c r="R905" s="132"/>
      <c r="W905" s="132"/>
      <c r="Z905" s="132"/>
      <c r="AA905" s="134"/>
      <c r="AB905" s="135"/>
      <c r="AF905" s="132"/>
      <c r="AG905" s="134"/>
    </row>
    <row r="906">
      <c r="A906" s="2"/>
      <c r="B906" s="91"/>
      <c r="C906" s="2"/>
      <c r="H906" s="132"/>
      <c r="J906" s="133"/>
      <c r="M906" s="132"/>
      <c r="R906" s="132"/>
      <c r="W906" s="132"/>
      <c r="Z906" s="132"/>
      <c r="AA906" s="134"/>
      <c r="AB906" s="135"/>
      <c r="AF906" s="132"/>
      <c r="AG906" s="134"/>
    </row>
    <row r="907">
      <c r="A907" s="2"/>
      <c r="B907" s="91"/>
      <c r="C907" s="2"/>
      <c r="H907" s="132"/>
      <c r="J907" s="133"/>
      <c r="M907" s="132"/>
      <c r="R907" s="132"/>
      <c r="W907" s="132"/>
      <c r="Z907" s="132"/>
      <c r="AA907" s="134"/>
      <c r="AB907" s="135"/>
      <c r="AF907" s="132"/>
      <c r="AG907" s="134"/>
    </row>
    <row r="908">
      <c r="A908" s="2"/>
      <c r="B908" s="91"/>
      <c r="C908" s="2"/>
      <c r="H908" s="132"/>
      <c r="J908" s="133"/>
      <c r="M908" s="132"/>
      <c r="R908" s="132"/>
      <c r="W908" s="132"/>
      <c r="Z908" s="132"/>
      <c r="AA908" s="134"/>
      <c r="AB908" s="135"/>
      <c r="AF908" s="132"/>
      <c r="AG908" s="134"/>
    </row>
    <row r="909">
      <c r="A909" s="2"/>
      <c r="B909" s="91"/>
      <c r="C909" s="2"/>
      <c r="H909" s="132"/>
      <c r="J909" s="133"/>
      <c r="M909" s="132"/>
      <c r="R909" s="132"/>
      <c r="W909" s="132"/>
      <c r="Z909" s="132"/>
      <c r="AA909" s="134"/>
      <c r="AB909" s="135"/>
      <c r="AF909" s="132"/>
      <c r="AG909" s="134"/>
    </row>
    <row r="910">
      <c r="A910" s="2"/>
      <c r="B910" s="91"/>
      <c r="C910" s="2"/>
      <c r="H910" s="132"/>
      <c r="J910" s="133"/>
      <c r="M910" s="132"/>
      <c r="R910" s="132"/>
      <c r="W910" s="132"/>
      <c r="Z910" s="132"/>
      <c r="AA910" s="134"/>
      <c r="AB910" s="135"/>
      <c r="AF910" s="132"/>
      <c r="AG910" s="134"/>
    </row>
    <row r="911">
      <c r="A911" s="2"/>
      <c r="B911" s="91"/>
      <c r="C911" s="2"/>
      <c r="H911" s="132"/>
      <c r="J911" s="133"/>
      <c r="M911" s="132"/>
      <c r="R911" s="132"/>
      <c r="W911" s="132"/>
      <c r="Z911" s="132"/>
      <c r="AA911" s="134"/>
      <c r="AB911" s="135"/>
      <c r="AF911" s="132"/>
      <c r="AG911" s="134"/>
    </row>
    <row r="912">
      <c r="A912" s="2"/>
      <c r="B912" s="91"/>
      <c r="C912" s="2"/>
      <c r="H912" s="132"/>
      <c r="J912" s="133"/>
      <c r="M912" s="132"/>
      <c r="R912" s="132"/>
      <c r="W912" s="132"/>
      <c r="Z912" s="132"/>
      <c r="AA912" s="134"/>
      <c r="AB912" s="135"/>
      <c r="AF912" s="132"/>
      <c r="AG912" s="134"/>
    </row>
    <row r="913">
      <c r="A913" s="2"/>
      <c r="B913" s="91"/>
      <c r="C913" s="2"/>
      <c r="H913" s="132"/>
      <c r="J913" s="133"/>
      <c r="M913" s="132"/>
      <c r="R913" s="132"/>
      <c r="W913" s="132"/>
      <c r="Z913" s="132"/>
      <c r="AA913" s="134"/>
      <c r="AB913" s="135"/>
      <c r="AF913" s="132"/>
      <c r="AG913" s="134"/>
    </row>
    <row r="914">
      <c r="A914" s="2"/>
      <c r="B914" s="91"/>
      <c r="C914" s="2"/>
      <c r="H914" s="132"/>
      <c r="J914" s="133"/>
      <c r="M914" s="132"/>
      <c r="R914" s="132"/>
      <c r="W914" s="132"/>
      <c r="Z914" s="132"/>
      <c r="AA914" s="134"/>
      <c r="AB914" s="135"/>
      <c r="AF914" s="132"/>
      <c r="AG914" s="134"/>
    </row>
    <row r="915">
      <c r="A915" s="2"/>
      <c r="B915" s="91"/>
      <c r="C915" s="2"/>
      <c r="H915" s="132"/>
      <c r="J915" s="133"/>
      <c r="M915" s="132"/>
      <c r="R915" s="132"/>
      <c r="W915" s="132"/>
      <c r="Z915" s="132"/>
      <c r="AA915" s="134"/>
      <c r="AB915" s="135"/>
      <c r="AF915" s="132"/>
      <c r="AG915" s="134"/>
    </row>
    <row r="916">
      <c r="A916" s="2"/>
      <c r="B916" s="91"/>
      <c r="C916" s="2"/>
      <c r="H916" s="132"/>
      <c r="J916" s="133"/>
      <c r="M916" s="132"/>
      <c r="R916" s="132"/>
      <c r="W916" s="132"/>
      <c r="Z916" s="132"/>
      <c r="AA916" s="134"/>
      <c r="AB916" s="135"/>
      <c r="AF916" s="132"/>
      <c r="AG916" s="134"/>
    </row>
    <row r="917">
      <c r="A917" s="2"/>
      <c r="B917" s="91"/>
      <c r="C917" s="2"/>
      <c r="H917" s="132"/>
      <c r="J917" s="133"/>
      <c r="M917" s="132"/>
      <c r="R917" s="132"/>
      <c r="W917" s="132"/>
      <c r="Z917" s="132"/>
      <c r="AA917" s="134"/>
      <c r="AB917" s="135"/>
      <c r="AF917" s="132"/>
      <c r="AG917" s="134"/>
    </row>
    <row r="918">
      <c r="A918" s="2"/>
      <c r="B918" s="91"/>
      <c r="C918" s="2"/>
      <c r="H918" s="132"/>
      <c r="J918" s="133"/>
      <c r="M918" s="132"/>
      <c r="R918" s="132"/>
      <c r="W918" s="132"/>
      <c r="Z918" s="132"/>
      <c r="AA918" s="134"/>
      <c r="AB918" s="135"/>
      <c r="AF918" s="132"/>
      <c r="AG918" s="134"/>
    </row>
    <row r="919">
      <c r="A919" s="2"/>
      <c r="B919" s="91"/>
      <c r="C919" s="2"/>
      <c r="H919" s="132"/>
      <c r="J919" s="133"/>
      <c r="M919" s="132"/>
      <c r="R919" s="132"/>
      <c r="W919" s="132"/>
      <c r="Z919" s="132"/>
      <c r="AA919" s="134"/>
      <c r="AB919" s="135"/>
      <c r="AF919" s="132"/>
      <c r="AG919" s="134"/>
    </row>
    <row r="920">
      <c r="A920" s="2"/>
      <c r="B920" s="91"/>
      <c r="C920" s="2"/>
      <c r="H920" s="132"/>
      <c r="J920" s="133"/>
      <c r="M920" s="132"/>
      <c r="R920" s="132"/>
      <c r="W920" s="132"/>
      <c r="Z920" s="132"/>
      <c r="AA920" s="134"/>
      <c r="AB920" s="135"/>
      <c r="AF920" s="132"/>
      <c r="AG920" s="134"/>
    </row>
    <row r="921">
      <c r="A921" s="2"/>
      <c r="B921" s="91"/>
      <c r="C921" s="2"/>
      <c r="H921" s="132"/>
      <c r="J921" s="133"/>
      <c r="M921" s="132"/>
      <c r="R921" s="132"/>
      <c r="W921" s="132"/>
      <c r="Z921" s="132"/>
      <c r="AA921" s="134"/>
      <c r="AB921" s="135"/>
      <c r="AF921" s="132"/>
      <c r="AG921" s="134"/>
    </row>
    <row r="922">
      <c r="A922" s="2"/>
      <c r="B922" s="91"/>
      <c r="C922" s="2"/>
      <c r="H922" s="132"/>
      <c r="J922" s="133"/>
      <c r="M922" s="132"/>
      <c r="R922" s="132"/>
      <c r="W922" s="132"/>
      <c r="Z922" s="132"/>
      <c r="AA922" s="134"/>
      <c r="AB922" s="135"/>
      <c r="AF922" s="132"/>
      <c r="AG922" s="134"/>
    </row>
    <row r="923">
      <c r="A923" s="2"/>
      <c r="B923" s="91"/>
      <c r="C923" s="2"/>
      <c r="H923" s="132"/>
      <c r="J923" s="133"/>
      <c r="M923" s="132"/>
      <c r="R923" s="132"/>
      <c r="W923" s="132"/>
      <c r="Z923" s="132"/>
      <c r="AA923" s="134"/>
      <c r="AB923" s="135"/>
      <c r="AF923" s="132"/>
      <c r="AG923" s="134"/>
    </row>
    <row r="924">
      <c r="A924" s="2"/>
      <c r="B924" s="91"/>
      <c r="C924" s="2"/>
      <c r="H924" s="132"/>
      <c r="J924" s="133"/>
      <c r="M924" s="132"/>
      <c r="R924" s="132"/>
      <c r="W924" s="132"/>
      <c r="Z924" s="132"/>
      <c r="AA924" s="134"/>
      <c r="AB924" s="135"/>
      <c r="AF924" s="132"/>
      <c r="AG924" s="134"/>
    </row>
    <row r="925">
      <c r="A925" s="2"/>
      <c r="B925" s="91"/>
      <c r="C925" s="2"/>
      <c r="H925" s="132"/>
      <c r="J925" s="133"/>
      <c r="M925" s="132"/>
      <c r="R925" s="132"/>
      <c r="W925" s="132"/>
      <c r="Z925" s="132"/>
      <c r="AA925" s="134"/>
      <c r="AB925" s="135"/>
      <c r="AF925" s="132"/>
      <c r="AG925" s="134"/>
    </row>
    <row r="926">
      <c r="A926" s="2"/>
      <c r="B926" s="91"/>
      <c r="C926" s="2"/>
      <c r="H926" s="132"/>
      <c r="J926" s="133"/>
      <c r="M926" s="132"/>
      <c r="R926" s="132"/>
      <c r="W926" s="132"/>
      <c r="Z926" s="132"/>
      <c r="AA926" s="134"/>
      <c r="AB926" s="135"/>
      <c r="AF926" s="132"/>
      <c r="AG926" s="134"/>
    </row>
    <row r="927">
      <c r="A927" s="2"/>
      <c r="B927" s="91"/>
      <c r="C927" s="2"/>
      <c r="H927" s="132"/>
      <c r="J927" s="133"/>
      <c r="M927" s="132"/>
      <c r="R927" s="132"/>
      <c r="W927" s="132"/>
      <c r="Z927" s="132"/>
      <c r="AA927" s="134"/>
      <c r="AB927" s="135"/>
      <c r="AF927" s="132"/>
      <c r="AG927" s="134"/>
    </row>
    <row r="928">
      <c r="A928" s="2"/>
      <c r="B928" s="91"/>
      <c r="C928" s="2"/>
      <c r="H928" s="132"/>
      <c r="J928" s="133"/>
      <c r="M928" s="132"/>
      <c r="R928" s="132"/>
      <c r="W928" s="132"/>
      <c r="Z928" s="132"/>
      <c r="AA928" s="134"/>
      <c r="AB928" s="135"/>
      <c r="AF928" s="132"/>
      <c r="AG928" s="134"/>
    </row>
    <row r="929">
      <c r="A929" s="2"/>
      <c r="B929" s="91"/>
      <c r="C929" s="2"/>
      <c r="H929" s="132"/>
      <c r="J929" s="133"/>
      <c r="M929" s="132"/>
      <c r="R929" s="132"/>
      <c r="W929" s="132"/>
      <c r="Z929" s="132"/>
      <c r="AA929" s="134"/>
      <c r="AB929" s="135"/>
      <c r="AF929" s="132"/>
      <c r="AG929" s="134"/>
    </row>
    <row r="930">
      <c r="A930" s="2"/>
      <c r="B930" s="91"/>
      <c r="C930" s="2"/>
      <c r="H930" s="132"/>
      <c r="J930" s="133"/>
      <c r="M930" s="132"/>
      <c r="R930" s="132"/>
      <c r="W930" s="132"/>
      <c r="Z930" s="132"/>
      <c r="AA930" s="134"/>
      <c r="AB930" s="135"/>
      <c r="AF930" s="132"/>
      <c r="AG930" s="134"/>
    </row>
    <row r="931">
      <c r="A931" s="2"/>
      <c r="B931" s="91"/>
      <c r="C931" s="2"/>
      <c r="H931" s="132"/>
      <c r="J931" s="133"/>
      <c r="M931" s="132"/>
      <c r="R931" s="132"/>
      <c r="W931" s="132"/>
      <c r="Z931" s="132"/>
      <c r="AA931" s="134"/>
      <c r="AB931" s="135"/>
      <c r="AF931" s="132"/>
      <c r="AG931" s="134"/>
    </row>
    <row r="932">
      <c r="A932" s="2"/>
      <c r="B932" s="91"/>
      <c r="C932" s="2"/>
      <c r="H932" s="132"/>
      <c r="J932" s="133"/>
      <c r="M932" s="132"/>
      <c r="R932" s="132"/>
      <c r="W932" s="132"/>
      <c r="Z932" s="132"/>
      <c r="AA932" s="134"/>
      <c r="AB932" s="135"/>
      <c r="AF932" s="132"/>
      <c r="AG932" s="134"/>
    </row>
    <row r="933">
      <c r="A933" s="2"/>
      <c r="B933" s="91"/>
      <c r="C933" s="2"/>
      <c r="H933" s="132"/>
      <c r="J933" s="133"/>
      <c r="M933" s="132"/>
      <c r="R933" s="132"/>
      <c r="W933" s="132"/>
      <c r="Z933" s="132"/>
      <c r="AA933" s="134"/>
      <c r="AB933" s="135"/>
      <c r="AF933" s="132"/>
      <c r="AG933" s="134"/>
    </row>
    <row r="934">
      <c r="A934" s="2"/>
      <c r="B934" s="91"/>
      <c r="C934" s="2"/>
      <c r="H934" s="132"/>
      <c r="J934" s="133"/>
      <c r="M934" s="132"/>
      <c r="R934" s="132"/>
      <c r="W934" s="132"/>
      <c r="Z934" s="132"/>
      <c r="AA934" s="134"/>
      <c r="AB934" s="135"/>
      <c r="AF934" s="132"/>
      <c r="AG934" s="134"/>
    </row>
    <row r="935">
      <c r="A935" s="2"/>
      <c r="B935" s="91"/>
      <c r="C935" s="2"/>
      <c r="H935" s="132"/>
      <c r="J935" s="133"/>
      <c r="M935" s="132"/>
      <c r="R935" s="132"/>
      <c r="W935" s="132"/>
      <c r="Z935" s="132"/>
      <c r="AA935" s="134"/>
      <c r="AB935" s="135"/>
      <c r="AF935" s="132"/>
      <c r="AG935" s="134"/>
    </row>
    <row r="936">
      <c r="A936" s="2"/>
      <c r="B936" s="91"/>
      <c r="C936" s="2"/>
      <c r="H936" s="132"/>
      <c r="J936" s="133"/>
      <c r="M936" s="132"/>
      <c r="R936" s="132"/>
      <c r="W936" s="132"/>
      <c r="Z936" s="132"/>
      <c r="AA936" s="134"/>
      <c r="AB936" s="135"/>
      <c r="AF936" s="132"/>
      <c r="AG936" s="134"/>
    </row>
    <row r="937">
      <c r="A937" s="2"/>
      <c r="B937" s="91"/>
      <c r="C937" s="2"/>
      <c r="H937" s="132"/>
      <c r="J937" s="133"/>
      <c r="M937" s="132"/>
      <c r="R937" s="132"/>
      <c r="W937" s="132"/>
      <c r="Z937" s="132"/>
      <c r="AA937" s="134"/>
      <c r="AB937" s="135"/>
      <c r="AF937" s="132"/>
      <c r="AG937" s="134"/>
    </row>
    <row r="938">
      <c r="A938" s="2"/>
      <c r="B938" s="91"/>
      <c r="C938" s="2"/>
      <c r="H938" s="132"/>
      <c r="J938" s="133"/>
      <c r="M938" s="132"/>
      <c r="R938" s="132"/>
      <c r="W938" s="132"/>
      <c r="Z938" s="132"/>
      <c r="AA938" s="134"/>
      <c r="AB938" s="135"/>
      <c r="AF938" s="132"/>
      <c r="AG938" s="134"/>
    </row>
    <row r="939">
      <c r="A939" s="2"/>
      <c r="B939" s="91"/>
      <c r="C939" s="2"/>
      <c r="H939" s="132"/>
      <c r="J939" s="133"/>
      <c r="M939" s="132"/>
      <c r="R939" s="132"/>
      <c r="W939" s="132"/>
      <c r="Z939" s="132"/>
      <c r="AA939" s="134"/>
      <c r="AB939" s="135"/>
      <c r="AF939" s="132"/>
      <c r="AG939" s="134"/>
    </row>
    <row r="940">
      <c r="A940" s="2"/>
      <c r="B940" s="91"/>
      <c r="C940" s="2"/>
      <c r="H940" s="132"/>
      <c r="J940" s="133"/>
      <c r="M940" s="132"/>
      <c r="R940" s="132"/>
      <c r="W940" s="132"/>
      <c r="Z940" s="132"/>
      <c r="AA940" s="134"/>
      <c r="AB940" s="135"/>
      <c r="AF940" s="132"/>
      <c r="AG940" s="134"/>
    </row>
    <row r="941">
      <c r="A941" s="2"/>
      <c r="B941" s="91"/>
      <c r="C941" s="2"/>
      <c r="H941" s="132"/>
      <c r="J941" s="133"/>
      <c r="M941" s="132"/>
      <c r="R941" s="132"/>
      <c r="W941" s="132"/>
      <c r="Z941" s="132"/>
      <c r="AA941" s="134"/>
      <c r="AB941" s="135"/>
      <c r="AF941" s="132"/>
      <c r="AG941" s="134"/>
    </row>
    <row r="942">
      <c r="A942" s="2"/>
      <c r="B942" s="91"/>
      <c r="C942" s="2"/>
      <c r="H942" s="132"/>
      <c r="J942" s="133"/>
      <c r="M942" s="132"/>
      <c r="R942" s="132"/>
      <c r="W942" s="132"/>
      <c r="Z942" s="132"/>
      <c r="AA942" s="134"/>
      <c r="AB942" s="135"/>
      <c r="AF942" s="132"/>
      <c r="AG942" s="134"/>
    </row>
    <row r="943">
      <c r="A943" s="2"/>
      <c r="B943" s="91"/>
      <c r="C943" s="2"/>
      <c r="H943" s="132"/>
      <c r="J943" s="133"/>
      <c r="M943" s="132"/>
      <c r="R943" s="132"/>
      <c r="W943" s="132"/>
      <c r="Z943" s="132"/>
      <c r="AA943" s="134"/>
      <c r="AB943" s="135"/>
      <c r="AF943" s="132"/>
      <c r="AG943" s="134"/>
    </row>
    <row r="944">
      <c r="A944" s="2"/>
      <c r="B944" s="91"/>
      <c r="C944" s="2"/>
      <c r="H944" s="132"/>
      <c r="J944" s="133"/>
      <c r="M944" s="132"/>
      <c r="R944" s="132"/>
      <c r="W944" s="132"/>
      <c r="Z944" s="132"/>
      <c r="AA944" s="134"/>
      <c r="AB944" s="135"/>
      <c r="AF944" s="132"/>
      <c r="AG944" s="134"/>
    </row>
    <row r="945">
      <c r="A945" s="2"/>
      <c r="B945" s="91"/>
      <c r="C945" s="2"/>
      <c r="H945" s="132"/>
      <c r="J945" s="133"/>
      <c r="M945" s="132"/>
      <c r="R945" s="132"/>
      <c r="W945" s="132"/>
      <c r="Z945" s="132"/>
      <c r="AA945" s="134"/>
      <c r="AB945" s="135"/>
      <c r="AF945" s="132"/>
      <c r="AG945" s="134"/>
    </row>
    <row r="946">
      <c r="A946" s="2"/>
      <c r="B946" s="91"/>
      <c r="C946" s="2"/>
      <c r="H946" s="132"/>
      <c r="J946" s="133"/>
      <c r="M946" s="132"/>
      <c r="R946" s="132"/>
      <c r="W946" s="132"/>
      <c r="Z946" s="132"/>
      <c r="AA946" s="134"/>
      <c r="AB946" s="135"/>
      <c r="AF946" s="132"/>
      <c r="AG946" s="134"/>
    </row>
    <row r="947">
      <c r="A947" s="2"/>
      <c r="B947" s="91"/>
      <c r="C947" s="2"/>
      <c r="H947" s="132"/>
      <c r="J947" s="133"/>
      <c r="M947" s="132"/>
      <c r="R947" s="132"/>
      <c r="W947" s="132"/>
      <c r="Z947" s="132"/>
      <c r="AA947" s="134"/>
      <c r="AB947" s="135"/>
      <c r="AF947" s="132"/>
      <c r="AG947" s="134"/>
    </row>
    <row r="948">
      <c r="A948" s="2"/>
      <c r="B948" s="91"/>
      <c r="C948" s="2"/>
      <c r="H948" s="132"/>
      <c r="J948" s="133"/>
      <c r="M948" s="132"/>
      <c r="R948" s="132"/>
      <c r="W948" s="132"/>
      <c r="Z948" s="132"/>
      <c r="AA948" s="134"/>
      <c r="AB948" s="135"/>
      <c r="AF948" s="132"/>
      <c r="AG948" s="134"/>
    </row>
    <row r="949">
      <c r="A949" s="2"/>
      <c r="B949" s="91"/>
      <c r="C949" s="2"/>
      <c r="H949" s="132"/>
      <c r="J949" s="133"/>
      <c r="M949" s="132"/>
      <c r="R949" s="132"/>
      <c r="W949" s="132"/>
      <c r="Z949" s="132"/>
      <c r="AA949" s="134"/>
      <c r="AB949" s="135"/>
      <c r="AF949" s="132"/>
      <c r="AG949" s="134"/>
    </row>
    <row r="950">
      <c r="A950" s="2"/>
      <c r="B950" s="91"/>
      <c r="C950" s="2"/>
      <c r="H950" s="132"/>
      <c r="J950" s="133"/>
      <c r="M950" s="132"/>
      <c r="R950" s="132"/>
      <c r="W950" s="132"/>
      <c r="Z950" s="132"/>
      <c r="AA950" s="134"/>
      <c r="AB950" s="135"/>
      <c r="AF950" s="132"/>
      <c r="AG950" s="134"/>
    </row>
    <row r="951">
      <c r="A951" s="2"/>
      <c r="B951" s="91"/>
      <c r="C951" s="2"/>
      <c r="H951" s="132"/>
      <c r="J951" s="133"/>
      <c r="M951" s="132"/>
      <c r="R951" s="132"/>
      <c r="W951" s="132"/>
      <c r="Z951" s="132"/>
      <c r="AA951" s="134"/>
      <c r="AB951" s="135"/>
      <c r="AF951" s="132"/>
      <c r="AG951" s="134"/>
    </row>
    <row r="952">
      <c r="A952" s="2"/>
      <c r="B952" s="91"/>
      <c r="C952" s="2"/>
      <c r="H952" s="132"/>
      <c r="J952" s="133"/>
      <c r="M952" s="132"/>
      <c r="R952" s="132"/>
      <c r="W952" s="132"/>
      <c r="Z952" s="132"/>
      <c r="AA952" s="134"/>
      <c r="AB952" s="135"/>
      <c r="AF952" s="132"/>
      <c r="AG952" s="134"/>
    </row>
    <row r="953">
      <c r="A953" s="2"/>
      <c r="B953" s="91"/>
      <c r="C953" s="2"/>
      <c r="H953" s="132"/>
      <c r="J953" s="133"/>
      <c r="M953" s="132"/>
      <c r="R953" s="132"/>
      <c r="W953" s="132"/>
      <c r="Z953" s="132"/>
      <c r="AA953" s="134"/>
      <c r="AB953" s="135"/>
      <c r="AF953" s="132"/>
      <c r="AG953" s="134"/>
    </row>
    <row r="954">
      <c r="A954" s="2"/>
      <c r="B954" s="91"/>
      <c r="C954" s="2"/>
      <c r="H954" s="132"/>
      <c r="J954" s="133"/>
      <c r="M954" s="132"/>
      <c r="R954" s="132"/>
      <c r="W954" s="132"/>
      <c r="Z954" s="132"/>
      <c r="AA954" s="134"/>
      <c r="AB954" s="135"/>
      <c r="AF954" s="132"/>
      <c r="AG954" s="134"/>
    </row>
    <row r="955">
      <c r="A955" s="2"/>
      <c r="B955" s="91"/>
      <c r="C955" s="2"/>
      <c r="H955" s="132"/>
      <c r="J955" s="133"/>
      <c r="M955" s="132"/>
      <c r="R955" s="132"/>
      <c r="W955" s="132"/>
      <c r="Z955" s="132"/>
      <c r="AA955" s="134"/>
      <c r="AB955" s="135"/>
      <c r="AF955" s="132"/>
      <c r="AG955" s="134"/>
    </row>
    <row r="956">
      <c r="A956" s="2"/>
      <c r="B956" s="91"/>
      <c r="C956" s="2"/>
      <c r="H956" s="132"/>
      <c r="J956" s="133"/>
      <c r="M956" s="132"/>
      <c r="R956" s="132"/>
      <c r="W956" s="132"/>
      <c r="Z956" s="132"/>
      <c r="AA956" s="134"/>
      <c r="AB956" s="135"/>
      <c r="AF956" s="132"/>
      <c r="AG956" s="134"/>
    </row>
    <row r="957">
      <c r="A957" s="2"/>
      <c r="B957" s="91"/>
      <c r="C957" s="2"/>
      <c r="H957" s="132"/>
      <c r="J957" s="133"/>
      <c r="M957" s="132"/>
      <c r="R957" s="132"/>
      <c r="W957" s="132"/>
      <c r="Z957" s="132"/>
      <c r="AA957" s="134"/>
      <c r="AB957" s="135"/>
      <c r="AF957" s="132"/>
      <c r="AG957" s="134"/>
    </row>
    <row r="958">
      <c r="A958" s="2"/>
      <c r="B958" s="91"/>
      <c r="C958" s="2"/>
      <c r="H958" s="132"/>
      <c r="J958" s="133"/>
      <c r="M958" s="132"/>
      <c r="R958" s="132"/>
      <c r="W958" s="132"/>
      <c r="Z958" s="132"/>
      <c r="AA958" s="134"/>
      <c r="AB958" s="135"/>
      <c r="AF958" s="132"/>
      <c r="AG958" s="134"/>
    </row>
    <row r="959">
      <c r="A959" s="2"/>
      <c r="B959" s="91"/>
      <c r="C959" s="2"/>
      <c r="H959" s="132"/>
      <c r="J959" s="133"/>
      <c r="M959" s="132"/>
      <c r="R959" s="132"/>
      <c r="W959" s="132"/>
      <c r="Z959" s="132"/>
      <c r="AA959" s="134"/>
      <c r="AB959" s="135"/>
      <c r="AF959" s="132"/>
      <c r="AG959" s="134"/>
    </row>
    <row r="960">
      <c r="A960" s="2"/>
      <c r="B960" s="91"/>
      <c r="C960" s="2"/>
      <c r="H960" s="132"/>
      <c r="J960" s="133"/>
      <c r="M960" s="132"/>
      <c r="R960" s="132"/>
      <c r="W960" s="132"/>
      <c r="Z960" s="132"/>
      <c r="AA960" s="134"/>
      <c r="AB960" s="135"/>
      <c r="AF960" s="132"/>
      <c r="AG960" s="134"/>
    </row>
    <row r="961">
      <c r="A961" s="2"/>
      <c r="B961" s="91"/>
      <c r="C961" s="2"/>
      <c r="H961" s="132"/>
      <c r="J961" s="133"/>
      <c r="M961" s="132"/>
      <c r="R961" s="132"/>
      <c r="W961" s="132"/>
      <c r="Z961" s="132"/>
      <c r="AA961" s="134"/>
      <c r="AB961" s="135"/>
      <c r="AF961" s="132"/>
      <c r="AG961" s="134"/>
    </row>
    <row r="962">
      <c r="A962" s="2"/>
      <c r="B962" s="91"/>
      <c r="C962" s="2"/>
      <c r="H962" s="132"/>
      <c r="J962" s="133"/>
      <c r="M962" s="132"/>
      <c r="R962" s="132"/>
      <c r="W962" s="132"/>
      <c r="Z962" s="132"/>
      <c r="AA962" s="134"/>
      <c r="AB962" s="135"/>
      <c r="AF962" s="132"/>
      <c r="AG962" s="134"/>
    </row>
    <row r="963">
      <c r="A963" s="2"/>
      <c r="B963" s="91"/>
      <c r="C963" s="2"/>
      <c r="H963" s="132"/>
      <c r="J963" s="133"/>
      <c r="M963" s="132"/>
      <c r="R963" s="132"/>
      <c r="W963" s="132"/>
      <c r="Z963" s="132"/>
      <c r="AA963" s="134"/>
      <c r="AB963" s="135"/>
      <c r="AF963" s="132"/>
      <c r="AG963" s="134"/>
    </row>
    <row r="964">
      <c r="A964" s="2"/>
      <c r="B964" s="91"/>
      <c r="C964" s="2"/>
      <c r="H964" s="132"/>
      <c r="J964" s="133"/>
      <c r="M964" s="132"/>
      <c r="R964" s="132"/>
      <c r="W964" s="132"/>
      <c r="Z964" s="132"/>
      <c r="AA964" s="134"/>
      <c r="AB964" s="135"/>
      <c r="AF964" s="132"/>
      <c r="AG964" s="134"/>
    </row>
    <row r="965">
      <c r="A965" s="2"/>
      <c r="B965" s="91"/>
      <c r="C965" s="2"/>
      <c r="H965" s="132"/>
      <c r="J965" s="133"/>
      <c r="M965" s="132"/>
      <c r="R965" s="132"/>
      <c r="W965" s="132"/>
      <c r="Z965" s="132"/>
      <c r="AA965" s="134"/>
      <c r="AB965" s="135"/>
      <c r="AF965" s="132"/>
      <c r="AG965" s="134"/>
    </row>
    <row r="966">
      <c r="A966" s="2"/>
      <c r="B966" s="91"/>
      <c r="C966" s="2"/>
      <c r="H966" s="132"/>
      <c r="J966" s="133"/>
      <c r="M966" s="132"/>
      <c r="R966" s="132"/>
      <c r="W966" s="132"/>
      <c r="Z966" s="132"/>
      <c r="AA966" s="134"/>
      <c r="AB966" s="135"/>
      <c r="AF966" s="132"/>
      <c r="AG966" s="134"/>
    </row>
    <row r="967">
      <c r="A967" s="2"/>
      <c r="B967" s="91"/>
      <c r="C967" s="2"/>
      <c r="H967" s="132"/>
      <c r="J967" s="133"/>
      <c r="M967" s="132"/>
      <c r="R967" s="132"/>
      <c r="W967" s="132"/>
      <c r="Z967" s="132"/>
      <c r="AA967" s="134"/>
      <c r="AB967" s="135"/>
      <c r="AF967" s="132"/>
      <c r="AG967" s="134"/>
    </row>
    <row r="968">
      <c r="A968" s="2"/>
      <c r="B968" s="91"/>
      <c r="C968" s="2"/>
      <c r="H968" s="132"/>
      <c r="J968" s="133"/>
      <c r="M968" s="132"/>
      <c r="R968" s="132"/>
      <c r="W968" s="132"/>
      <c r="Z968" s="132"/>
      <c r="AA968" s="134"/>
      <c r="AB968" s="135"/>
      <c r="AF968" s="132"/>
      <c r="AG968" s="134"/>
    </row>
    <row r="969">
      <c r="A969" s="2"/>
      <c r="B969" s="91"/>
      <c r="C969" s="2"/>
      <c r="H969" s="132"/>
      <c r="J969" s="133"/>
      <c r="M969" s="132"/>
      <c r="R969" s="132"/>
      <c r="W969" s="132"/>
      <c r="Z969" s="132"/>
      <c r="AA969" s="134"/>
      <c r="AB969" s="135"/>
      <c r="AF969" s="132"/>
      <c r="AG969" s="134"/>
    </row>
    <row r="970">
      <c r="A970" s="2"/>
      <c r="B970" s="91"/>
      <c r="C970" s="2"/>
      <c r="H970" s="132"/>
      <c r="J970" s="133"/>
      <c r="M970" s="132"/>
      <c r="R970" s="132"/>
      <c r="W970" s="132"/>
      <c r="Z970" s="132"/>
      <c r="AA970" s="134"/>
      <c r="AB970" s="135"/>
      <c r="AF970" s="132"/>
      <c r="AG970" s="134"/>
    </row>
    <row r="971">
      <c r="A971" s="2"/>
      <c r="B971" s="91"/>
      <c r="C971" s="2"/>
      <c r="H971" s="132"/>
      <c r="J971" s="133"/>
      <c r="M971" s="132"/>
      <c r="R971" s="132"/>
      <c r="W971" s="132"/>
      <c r="Z971" s="132"/>
      <c r="AA971" s="134"/>
      <c r="AB971" s="135"/>
      <c r="AF971" s="132"/>
      <c r="AG971" s="134"/>
    </row>
    <row r="972">
      <c r="A972" s="2"/>
      <c r="B972" s="91"/>
      <c r="C972" s="2"/>
      <c r="H972" s="132"/>
      <c r="J972" s="133"/>
      <c r="M972" s="132"/>
      <c r="R972" s="132"/>
      <c r="W972" s="132"/>
      <c r="Z972" s="132"/>
      <c r="AA972" s="134"/>
      <c r="AB972" s="135"/>
      <c r="AF972" s="132"/>
      <c r="AG972" s="134"/>
    </row>
    <row r="973">
      <c r="A973" s="2"/>
      <c r="B973" s="91"/>
      <c r="C973" s="2"/>
      <c r="H973" s="132"/>
      <c r="J973" s="133"/>
      <c r="M973" s="132"/>
      <c r="R973" s="132"/>
      <c r="W973" s="132"/>
      <c r="Z973" s="132"/>
      <c r="AA973" s="134"/>
      <c r="AB973" s="135"/>
      <c r="AF973" s="132"/>
      <c r="AG973" s="134"/>
    </row>
    <row r="974">
      <c r="A974" s="2"/>
      <c r="B974" s="91"/>
      <c r="C974" s="2"/>
      <c r="H974" s="132"/>
      <c r="J974" s="133"/>
      <c r="M974" s="132"/>
      <c r="R974" s="132"/>
      <c r="W974" s="132"/>
      <c r="Z974" s="132"/>
      <c r="AA974" s="134"/>
      <c r="AB974" s="135"/>
      <c r="AF974" s="132"/>
      <c r="AG974" s="134"/>
    </row>
    <row r="975">
      <c r="A975" s="2"/>
      <c r="B975" s="91"/>
      <c r="C975" s="2"/>
      <c r="H975" s="132"/>
      <c r="J975" s="133"/>
      <c r="M975" s="132"/>
      <c r="R975" s="132"/>
      <c r="W975" s="132"/>
      <c r="Z975" s="132"/>
      <c r="AA975" s="134"/>
      <c r="AB975" s="135"/>
      <c r="AF975" s="132"/>
      <c r="AG975" s="134"/>
    </row>
    <row r="976">
      <c r="A976" s="2"/>
      <c r="B976" s="91"/>
      <c r="C976" s="2"/>
      <c r="H976" s="132"/>
      <c r="J976" s="133"/>
      <c r="M976" s="132"/>
      <c r="R976" s="132"/>
      <c r="W976" s="132"/>
      <c r="Z976" s="132"/>
      <c r="AA976" s="134"/>
      <c r="AB976" s="135"/>
      <c r="AF976" s="132"/>
      <c r="AG976" s="134"/>
    </row>
    <row r="977">
      <c r="A977" s="2"/>
      <c r="B977" s="91"/>
      <c r="C977" s="2"/>
      <c r="H977" s="132"/>
      <c r="J977" s="133"/>
      <c r="M977" s="132"/>
      <c r="R977" s="132"/>
      <c r="W977" s="132"/>
      <c r="Z977" s="132"/>
      <c r="AA977" s="134"/>
      <c r="AB977" s="135"/>
      <c r="AF977" s="132"/>
      <c r="AG977" s="134"/>
    </row>
    <row r="978">
      <c r="A978" s="2"/>
      <c r="B978" s="91"/>
      <c r="C978" s="2"/>
      <c r="H978" s="132"/>
      <c r="J978" s="133"/>
      <c r="M978" s="132"/>
      <c r="R978" s="132"/>
      <c r="W978" s="132"/>
      <c r="Z978" s="132"/>
      <c r="AA978" s="134"/>
      <c r="AB978" s="135"/>
      <c r="AF978" s="132"/>
      <c r="AG978" s="134"/>
    </row>
    <row r="979">
      <c r="A979" s="2"/>
      <c r="B979" s="91"/>
      <c r="C979" s="2"/>
      <c r="H979" s="132"/>
      <c r="J979" s="133"/>
      <c r="M979" s="132"/>
      <c r="R979" s="132"/>
      <c r="W979" s="132"/>
      <c r="Z979" s="132"/>
      <c r="AA979" s="134"/>
      <c r="AB979" s="135"/>
      <c r="AF979" s="132"/>
      <c r="AG979" s="134"/>
    </row>
    <row r="980">
      <c r="A980" s="2"/>
      <c r="B980" s="91"/>
      <c r="C980" s="2"/>
      <c r="H980" s="132"/>
      <c r="J980" s="133"/>
      <c r="M980" s="132"/>
      <c r="R980" s="132"/>
      <c r="W980" s="132"/>
      <c r="Z980" s="132"/>
      <c r="AA980" s="134"/>
      <c r="AB980" s="135"/>
      <c r="AF980" s="132"/>
      <c r="AG980" s="134"/>
    </row>
    <row r="981">
      <c r="A981" s="2"/>
      <c r="B981" s="91"/>
      <c r="C981" s="2"/>
      <c r="H981" s="132"/>
      <c r="J981" s="133"/>
      <c r="M981" s="132"/>
      <c r="R981" s="132"/>
      <c r="W981" s="132"/>
      <c r="Z981" s="132"/>
      <c r="AA981" s="134"/>
      <c r="AB981" s="135"/>
      <c r="AF981" s="132"/>
      <c r="AG981" s="134"/>
    </row>
    <row r="982">
      <c r="A982" s="2"/>
      <c r="B982" s="91"/>
      <c r="C982" s="2"/>
      <c r="H982" s="132"/>
      <c r="J982" s="133"/>
      <c r="M982" s="132"/>
      <c r="R982" s="132"/>
      <c r="W982" s="132"/>
      <c r="Z982" s="132"/>
      <c r="AA982" s="134"/>
      <c r="AB982" s="135"/>
      <c r="AF982" s="132"/>
      <c r="AG982" s="134"/>
    </row>
    <row r="983">
      <c r="A983" s="2"/>
      <c r="B983" s="91"/>
      <c r="C983" s="2"/>
      <c r="H983" s="132"/>
      <c r="J983" s="133"/>
      <c r="M983" s="132"/>
      <c r="R983" s="132"/>
      <c r="W983" s="132"/>
      <c r="Z983" s="132"/>
      <c r="AA983" s="134"/>
      <c r="AB983" s="135"/>
      <c r="AF983" s="132"/>
      <c r="AG983" s="134"/>
    </row>
    <row r="984">
      <c r="A984" s="2"/>
      <c r="B984" s="91"/>
      <c r="C984" s="2"/>
      <c r="H984" s="132"/>
      <c r="J984" s="133"/>
      <c r="M984" s="132"/>
      <c r="R984" s="132"/>
      <c r="W984" s="132"/>
      <c r="Z984" s="132"/>
      <c r="AA984" s="134"/>
      <c r="AB984" s="135"/>
      <c r="AF984" s="132"/>
      <c r="AG984" s="134"/>
    </row>
    <row r="985">
      <c r="A985" s="2"/>
      <c r="B985" s="91"/>
      <c r="C985" s="2"/>
      <c r="H985" s="132"/>
      <c r="J985" s="133"/>
      <c r="M985" s="132"/>
      <c r="R985" s="132"/>
      <c r="W985" s="132"/>
      <c r="Z985" s="132"/>
      <c r="AA985" s="134"/>
      <c r="AB985" s="135"/>
      <c r="AF985" s="132"/>
      <c r="AG985" s="134"/>
    </row>
    <row r="986">
      <c r="A986" s="2"/>
      <c r="B986" s="91"/>
      <c r="C986" s="2"/>
      <c r="H986" s="132"/>
      <c r="J986" s="133"/>
      <c r="M986" s="132"/>
      <c r="R986" s="132"/>
      <c r="W986" s="132"/>
      <c r="Z986" s="132"/>
      <c r="AA986" s="134"/>
      <c r="AB986" s="135"/>
      <c r="AF986" s="132"/>
      <c r="AG986" s="134"/>
    </row>
    <row r="987">
      <c r="A987" s="2"/>
      <c r="B987" s="91"/>
      <c r="C987" s="2"/>
      <c r="H987" s="132"/>
      <c r="J987" s="133"/>
      <c r="M987" s="132"/>
      <c r="R987" s="132"/>
      <c r="W987" s="132"/>
      <c r="Z987" s="132"/>
      <c r="AA987" s="134"/>
      <c r="AB987" s="135"/>
      <c r="AF987" s="132"/>
      <c r="AG987" s="134"/>
    </row>
    <row r="988">
      <c r="A988" s="2"/>
      <c r="B988" s="91"/>
      <c r="C988" s="2"/>
      <c r="H988" s="132"/>
      <c r="J988" s="133"/>
      <c r="M988" s="132"/>
      <c r="R988" s="132"/>
      <c r="W988" s="132"/>
      <c r="Z988" s="132"/>
      <c r="AA988" s="134"/>
      <c r="AB988" s="135"/>
      <c r="AF988" s="132"/>
      <c r="AG988" s="134"/>
    </row>
    <row r="989">
      <c r="A989" s="2"/>
      <c r="B989" s="91"/>
      <c r="C989" s="2"/>
      <c r="H989" s="132"/>
      <c r="J989" s="133"/>
      <c r="M989" s="132"/>
      <c r="R989" s="132"/>
      <c r="W989" s="132"/>
      <c r="Z989" s="132"/>
      <c r="AA989" s="134"/>
      <c r="AB989" s="135"/>
      <c r="AF989" s="132"/>
      <c r="AG989" s="134"/>
    </row>
    <row r="990">
      <c r="A990" s="2"/>
      <c r="B990" s="91"/>
      <c r="C990" s="2"/>
      <c r="H990" s="132"/>
      <c r="J990" s="133"/>
      <c r="M990" s="132"/>
      <c r="R990" s="132"/>
      <c r="W990" s="132"/>
      <c r="Z990" s="132"/>
      <c r="AA990" s="134"/>
      <c r="AB990" s="135"/>
      <c r="AF990" s="132"/>
      <c r="AG990" s="134"/>
    </row>
    <row r="991">
      <c r="A991" s="2"/>
      <c r="B991" s="91"/>
      <c r="C991" s="2"/>
      <c r="H991" s="132"/>
      <c r="J991" s="133"/>
      <c r="M991" s="132"/>
      <c r="R991" s="132"/>
      <c r="W991" s="132"/>
      <c r="Z991" s="132"/>
      <c r="AA991" s="134"/>
      <c r="AB991" s="135"/>
      <c r="AF991" s="132"/>
      <c r="AG991" s="134"/>
    </row>
    <row r="992">
      <c r="A992" s="2"/>
      <c r="B992" s="91"/>
      <c r="C992" s="2"/>
      <c r="H992" s="132"/>
      <c r="J992" s="133"/>
      <c r="M992" s="132"/>
      <c r="R992" s="132"/>
      <c r="W992" s="132"/>
      <c r="Z992" s="132"/>
      <c r="AA992" s="134"/>
      <c r="AB992" s="135"/>
      <c r="AF992" s="132"/>
      <c r="AG992" s="134"/>
    </row>
    <row r="993">
      <c r="A993" s="2"/>
      <c r="B993" s="91"/>
      <c r="C993" s="2"/>
      <c r="H993" s="132"/>
      <c r="J993" s="133"/>
      <c r="M993" s="132"/>
      <c r="R993" s="132"/>
      <c r="W993" s="132"/>
      <c r="Z993" s="132"/>
      <c r="AA993" s="134"/>
      <c r="AB993" s="135"/>
      <c r="AF993" s="132"/>
      <c r="AG993" s="134"/>
    </row>
    <row r="994">
      <c r="A994" s="2"/>
      <c r="B994" s="91"/>
      <c r="C994" s="2"/>
      <c r="H994" s="132"/>
      <c r="J994" s="133"/>
      <c r="M994" s="132"/>
      <c r="R994" s="132"/>
      <c r="W994" s="132"/>
      <c r="Z994" s="132"/>
      <c r="AA994" s="134"/>
      <c r="AB994" s="135"/>
      <c r="AF994" s="132"/>
      <c r="AG994" s="134"/>
    </row>
    <row r="995">
      <c r="A995" s="2"/>
      <c r="B995" s="91"/>
      <c r="C995" s="2"/>
      <c r="H995" s="132"/>
      <c r="J995" s="133"/>
      <c r="M995" s="132"/>
      <c r="R995" s="132"/>
      <c r="W995" s="132"/>
      <c r="Z995" s="132"/>
      <c r="AA995" s="134"/>
      <c r="AB995" s="135"/>
      <c r="AF995" s="132"/>
      <c r="AG995" s="134"/>
    </row>
    <row r="996">
      <c r="A996" s="2"/>
      <c r="B996" s="91"/>
      <c r="C996" s="2"/>
      <c r="H996" s="132"/>
      <c r="J996" s="133"/>
      <c r="M996" s="132"/>
      <c r="R996" s="132"/>
      <c r="W996" s="132"/>
      <c r="Z996" s="132"/>
      <c r="AA996" s="134"/>
      <c r="AB996" s="135"/>
      <c r="AF996" s="132"/>
      <c r="AG996" s="134"/>
    </row>
    <row r="997">
      <c r="A997" s="2"/>
      <c r="B997" s="91"/>
      <c r="C997" s="2"/>
      <c r="H997" s="132"/>
      <c r="J997" s="133"/>
      <c r="M997" s="132"/>
      <c r="R997" s="132"/>
      <c r="W997" s="132"/>
      <c r="Z997" s="132"/>
      <c r="AA997" s="134"/>
      <c r="AB997" s="135"/>
      <c r="AF997" s="132"/>
      <c r="AG997" s="134"/>
    </row>
    <row r="998">
      <c r="A998" s="2"/>
      <c r="B998" s="91"/>
      <c r="C998" s="2"/>
      <c r="H998" s="132"/>
      <c r="J998" s="133"/>
      <c r="M998" s="132"/>
      <c r="R998" s="132"/>
      <c r="W998" s="132"/>
      <c r="Z998" s="132"/>
      <c r="AA998" s="134"/>
      <c r="AB998" s="135"/>
      <c r="AF998" s="132"/>
      <c r="AG998" s="134"/>
    </row>
    <row r="999">
      <c r="A999" s="2"/>
      <c r="B999" s="91"/>
      <c r="C999" s="2"/>
      <c r="H999" s="132"/>
      <c r="J999" s="133"/>
      <c r="M999" s="132"/>
      <c r="R999" s="132"/>
      <c r="W999" s="132"/>
      <c r="Z999" s="132"/>
      <c r="AA999" s="134"/>
      <c r="AB999" s="135"/>
      <c r="AF999" s="132"/>
      <c r="AG999" s="134"/>
    </row>
  </sheetData>
  <mergeCells count="1">
    <mergeCell ref="A1:C1"/>
  </mergeCells>
  <drawing r:id="rId1"/>
</worksheet>
</file>